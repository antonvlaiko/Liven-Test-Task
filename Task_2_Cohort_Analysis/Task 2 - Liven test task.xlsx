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WORK\"/>
    </mc:Choice>
  </mc:AlternateContent>
  <xr:revisionPtr revIDLastSave="0" documentId="13_ncr:1_{8C3FCED8-4A53-4B8A-A616-702DE03B37BF}" xr6:coauthVersionLast="47" xr6:coauthVersionMax="47" xr10:uidLastSave="{00000000-0000-0000-0000-000000000000}"/>
  <bookViews>
    <workbookView xWindow="-24120" yWindow="-120" windowWidth="24240" windowHeight="13020" xr2:uid="{00000000-000D-0000-FFFF-FFFF00000000}"/>
  </bookViews>
  <sheets>
    <sheet name="Emails sent (tasks 1, 3, 4)" sheetId="3" r:id="rId1"/>
    <sheet name="Users Retention Rate (task 2)" sheetId="2" r:id="rId2"/>
    <sheet name="Active users" sheetId="1" r:id="rId3"/>
    <sheet name="Emails clicks" sheetId="4" r:id="rId4"/>
  </sheets>
  <definedNames>
    <definedName name="_xlnm._FilterDatabase" localSheetId="2" hidden="1">'Active users'!$A$1:$C$45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6" i="2" l="1"/>
  <c r="B58" i="2"/>
  <c r="BF21" i="4"/>
  <c r="BE21" i="3"/>
  <c r="S56" i="2"/>
  <c r="C116" i="3"/>
  <c r="BE110" i="3"/>
  <c r="C114" i="3"/>
  <c r="AQ110" i="3"/>
  <c r="C110" i="3"/>
  <c r="C59" i="3"/>
  <c r="C102" i="3"/>
  <c r="BE31" i="3"/>
  <c r="BE32" i="4"/>
  <c r="BE31" i="4"/>
  <c r="BE30" i="4"/>
  <c r="BE29" i="4"/>
  <c r="BE28" i="4"/>
  <c r="BE27" i="4"/>
  <c r="BE26" i="4"/>
  <c r="BE25" i="4"/>
  <c r="X25" i="4" s="1"/>
  <c r="BE24" i="4"/>
  <c r="BE23" i="4"/>
  <c r="BE22" i="4"/>
  <c r="BE21" i="4"/>
  <c r="BE32" i="3"/>
  <c r="AE32" i="3" s="1"/>
  <c r="BE30" i="3"/>
  <c r="BE29" i="3"/>
  <c r="BE28" i="3"/>
  <c r="BE27" i="3"/>
  <c r="BE26" i="3"/>
  <c r="BE25" i="3"/>
  <c r="BE24" i="3"/>
  <c r="BE23" i="3"/>
  <c r="BE22" i="3"/>
  <c r="T60" i="3"/>
  <c r="T68" i="3"/>
  <c r="T71" i="3"/>
  <c r="T72" i="3"/>
  <c r="T73" i="3"/>
  <c r="T74" i="3"/>
  <c r="T63" i="3"/>
  <c r="T64" i="3"/>
  <c r="T65" i="3"/>
  <c r="T66" i="3"/>
  <c r="T67" i="3"/>
  <c r="T69" i="3"/>
  <c r="T70" i="3"/>
  <c r="Y59" i="3"/>
  <c r="Y60" i="3"/>
  <c r="Y61" i="3"/>
  <c r="Y62" i="3"/>
  <c r="Y63" i="3"/>
  <c r="Y64" i="3"/>
  <c r="Y65" i="3"/>
  <c r="Y66" i="3"/>
  <c r="Y67" i="3"/>
  <c r="Y68" i="3"/>
  <c r="Y69" i="3"/>
  <c r="Y70" i="3"/>
  <c r="Y71" i="3"/>
  <c r="Y72" i="3"/>
  <c r="Y73" i="3"/>
  <c r="Y74" i="3"/>
  <c r="AH87" i="3"/>
  <c r="AD31" i="4"/>
  <c r="AE31" i="4" s="1"/>
  <c r="AF31" i="4" s="1"/>
  <c r="AG31" i="4" s="1"/>
  <c r="AH31" i="4" s="1"/>
  <c r="AI31" i="4" s="1"/>
  <c r="AJ31" i="4" s="1"/>
  <c r="AK31" i="4" s="1"/>
  <c r="AL31" i="4" s="1"/>
  <c r="AM31" i="4" s="1"/>
  <c r="AN31" i="4" s="1"/>
  <c r="AO31" i="4" s="1"/>
  <c r="AP31" i="4" s="1"/>
  <c r="AQ31" i="4" s="1"/>
  <c r="AR31" i="4" s="1"/>
  <c r="AS31" i="4" s="1"/>
  <c r="AT31" i="4" s="1"/>
  <c r="AU31" i="4" s="1"/>
  <c r="AV31" i="4" s="1"/>
  <c r="AW31" i="4" s="1"/>
  <c r="AX31" i="4" s="1"/>
  <c r="AY31" i="4" s="1"/>
  <c r="AZ31" i="4" s="1"/>
  <c r="BA31" i="4" s="1"/>
  <c r="BB31" i="4" s="1"/>
  <c r="AC30" i="4"/>
  <c r="AD30" i="4" s="1"/>
  <c r="AE30" i="4" s="1"/>
  <c r="AF30" i="4" s="1"/>
  <c r="AG30" i="4" s="1"/>
  <c r="AH30" i="4" s="1"/>
  <c r="AI30" i="4" s="1"/>
  <c r="AJ30" i="4" s="1"/>
  <c r="AK30" i="4" s="1"/>
  <c r="AL30" i="4" s="1"/>
  <c r="AM30" i="4" s="1"/>
  <c r="AN30" i="4" s="1"/>
  <c r="AO30" i="4" s="1"/>
  <c r="AP30" i="4" s="1"/>
  <c r="AQ30" i="4" s="1"/>
  <c r="AR30" i="4" s="1"/>
  <c r="AS30" i="4" s="1"/>
  <c r="AT30" i="4" s="1"/>
  <c r="AU30" i="4" s="1"/>
  <c r="AV30" i="4" s="1"/>
  <c r="AW30" i="4" s="1"/>
  <c r="AX30" i="4" s="1"/>
  <c r="AY30" i="4" s="1"/>
  <c r="AZ30" i="4" s="1"/>
  <c r="BA30" i="4" s="1"/>
  <c r="BB30" i="4" s="1"/>
  <c r="AB29" i="4"/>
  <c r="AC29" i="4" s="1"/>
  <c r="AD29" i="4" s="1"/>
  <c r="AE29" i="4" s="1"/>
  <c r="AF29" i="4" s="1"/>
  <c r="AG29" i="4" s="1"/>
  <c r="AH29" i="4" s="1"/>
  <c r="AI29" i="4" s="1"/>
  <c r="AJ29" i="4" s="1"/>
  <c r="AK29" i="4" s="1"/>
  <c r="AL29" i="4" s="1"/>
  <c r="AM29" i="4" s="1"/>
  <c r="AN29" i="4" s="1"/>
  <c r="AO29" i="4" s="1"/>
  <c r="AP29" i="4" s="1"/>
  <c r="AQ29" i="4" s="1"/>
  <c r="AR29" i="4" s="1"/>
  <c r="AS29" i="4" s="1"/>
  <c r="AT29" i="4" s="1"/>
  <c r="AU29" i="4" s="1"/>
  <c r="AV29" i="4" s="1"/>
  <c r="AW29" i="4" s="1"/>
  <c r="AX29" i="4" s="1"/>
  <c r="AY29" i="4" s="1"/>
  <c r="AZ29" i="4" s="1"/>
  <c r="BA29" i="4" s="1"/>
  <c r="BB29" i="4" s="1"/>
  <c r="AA28" i="4"/>
  <c r="AB28" i="4"/>
  <c r="AC28" i="4"/>
  <c r="AD28" i="4"/>
  <c r="AE28" i="4" s="1"/>
  <c r="AF28" i="4" s="1"/>
  <c r="AG28" i="4" s="1"/>
  <c r="AH28" i="4" s="1"/>
  <c r="AI28" i="4" s="1"/>
  <c r="AJ28" i="4" s="1"/>
  <c r="AK28" i="4" s="1"/>
  <c r="AL28" i="4" s="1"/>
  <c r="AM28" i="4" s="1"/>
  <c r="AN28" i="4" s="1"/>
  <c r="AO28" i="4" s="1"/>
  <c r="AP28" i="4" s="1"/>
  <c r="AQ28" i="4" s="1"/>
  <c r="AR28" i="4" s="1"/>
  <c r="AS28" i="4" s="1"/>
  <c r="AT28" i="4" s="1"/>
  <c r="AU28" i="4" s="1"/>
  <c r="AV28" i="4" s="1"/>
  <c r="AW28" i="4" s="1"/>
  <c r="AX28" i="4" s="1"/>
  <c r="AY28" i="4" s="1"/>
  <c r="AZ28" i="4" s="1"/>
  <c r="BA28" i="4" s="1"/>
  <c r="BB28" i="4" s="1"/>
  <c r="Z27" i="4"/>
  <c r="AA27" i="4" s="1"/>
  <c r="AB27" i="4" s="1"/>
  <c r="AC27" i="4" s="1"/>
  <c r="AD27" i="4" s="1"/>
  <c r="AE27" i="4" s="1"/>
  <c r="AF27" i="4" s="1"/>
  <c r="AG27" i="4" s="1"/>
  <c r="AH27" i="4" s="1"/>
  <c r="AI27" i="4" s="1"/>
  <c r="AJ27" i="4" s="1"/>
  <c r="AK27" i="4" s="1"/>
  <c r="AL27" i="4" s="1"/>
  <c r="AM27" i="4" s="1"/>
  <c r="AN27" i="4" s="1"/>
  <c r="AO27" i="4" s="1"/>
  <c r="AP27" i="4" s="1"/>
  <c r="AQ27" i="4" s="1"/>
  <c r="AR27" i="4" s="1"/>
  <c r="AS27" i="4" s="1"/>
  <c r="AT27" i="4" s="1"/>
  <c r="AU27" i="4" s="1"/>
  <c r="AV27" i="4" s="1"/>
  <c r="AW27" i="4" s="1"/>
  <c r="AX27" i="4" s="1"/>
  <c r="AY27" i="4" s="1"/>
  <c r="AZ27" i="4" s="1"/>
  <c r="BA27" i="4" s="1"/>
  <c r="BB27" i="4" s="1"/>
  <c r="Y26" i="4"/>
  <c r="Z26" i="4" s="1"/>
  <c r="AA26" i="4" s="1"/>
  <c r="AB26" i="4" s="1"/>
  <c r="AC26" i="4" s="1"/>
  <c r="AD26" i="4" s="1"/>
  <c r="AE26" i="4" s="1"/>
  <c r="AF26" i="4" s="1"/>
  <c r="AG26" i="4" s="1"/>
  <c r="AH26" i="4" s="1"/>
  <c r="AI26" i="4" s="1"/>
  <c r="AJ26" i="4" s="1"/>
  <c r="AK26" i="4" s="1"/>
  <c r="AL26" i="4" s="1"/>
  <c r="AM26" i="4" s="1"/>
  <c r="AN26" i="4" s="1"/>
  <c r="AO26" i="4" s="1"/>
  <c r="AP26" i="4" s="1"/>
  <c r="AQ26" i="4" s="1"/>
  <c r="AR26" i="4" s="1"/>
  <c r="AS26" i="4" s="1"/>
  <c r="AT26" i="4" s="1"/>
  <c r="AU26" i="4" s="1"/>
  <c r="AV26" i="4" s="1"/>
  <c r="AW26" i="4" s="1"/>
  <c r="AX26" i="4" s="1"/>
  <c r="AY26" i="4" s="1"/>
  <c r="AZ26" i="4" s="1"/>
  <c r="BA26" i="4" s="1"/>
  <c r="BB26" i="4" s="1"/>
  <c r="W24" i="4"/>
  <c r="X24" i="4"/>
  <c r="Y24" i="4" s="1"/>
  <c r="Z24" i="4" s="1"/>
  <c r="AA24" i="4" s="1"/>
  <c r="AB24" i="4" s="1"/>
  <c r="AC24" i="4" s="1"/>
  <c r="AD24" i="4" s="1"/>
  <c r="AE24" i="4" s="1"/>
  <c r="AF24" i="4" s="1"/>
  <c r="AG24" i="4" s="1"/>
  <c r="AH24" i="4" s="1"/>
  <c r="AI24" i="4" s="1"/>
  <c r="AJ24" i="4" s="1"/>
  <c r="AK24" i="4" s="1"/>
  <c r="AL24" i="4" s="1"/>
  <c r="AM24" i="4" s="1"/>
  <c r="AN24" i="4" s="1"/>
  <c r="AO24" i="4" s="1"/>
  <c r="AP24" i="4" s="1"/>
  <c r="AQ24" i="4" s="1"/>
  <c r="AR24" i="4" s="1"/>
  <c r="AS24" i="4" s="1"/>
  <c r="AT24" i="4" s="1"/>
  <c r="AU24" i="4" s="1"/>
  <c r="AV24" i="4" s="1"/>
  <c r="AW24" i="4" s="1"/>
  <c r="AX24" i="4" s="1"/>
  <c r="AY24" i="4" s="1"/>
  <c r="AZ24" i="4" s="1"/>
  <c r="BA24" i="4" s="1"/>
  <c r="BB24" i="4" s="1"/>
  <c r="V23" i="4"/>
  <c r="W23" i="4" s="1"/>
  <c r="X23" i="4" s="1"/>
  <c r="Y23" i="4" s="1"/>
  <c r="Z23" i="4" s="1"/>
  <c r="AA23" i="4" s="1"/>
  <c r="AB23" i="4" s="1"/>
  <c r="AC23" i="4" s="1"/>
  <c r="AD23" i="4" s="1"/>
  <c r="AE23" i="4" s="1"/>
  <c r="AF23" i="4" s="1"/>
  <c r="AG23" i="4" s="1"/>
  <c r="AH23" i="4" s="1"/>
  <c r="AI23" i="4" s="1"/>
  <c r="AJ23" i="4" s="1"/>
  <c r="AK23" i="4" s="1"/>
  <c r="AL23" i="4" s="1"/>
  <c r="AM23" i="4" s="1"/>
  <c r="AN23" i="4" s="1"/>
  <c r="AO23" i="4" s="1"/>
  <c r="AP23" i="4" s="1"/>
  <c r="AQ23" i="4" s="1"/>
  <c r="AR23" i="4" s="1"/>
  <c r="AS23" i="4" s="1"/>
  <c r="AT23" i="4" s="1"/>
  <c r="AU23" i="4" s="1"/>
  <c r="AV23" i="4" s="1"/>
  <c r="AW23" i="4" s="1"/>
  <c r="AX23" i="4" s="1"/>
  <c r="AY23" i="4" s="1"/>
  <c r="AZ23" i="4" s="1"/>
  <c r="BA23" i="4" s="1"/>
  <c r="BB23" i="4" s="1"/>
  <c r="U22" i="4"/>
  <c r="V22" i="4" s="1"/>
  <c r="W22" i="4" s="1"/>
  <c r="X22" i="4" s="1"/>
  <c r="Y22" i="4" s="1"/>
  <c r="Z22" i="4" s="1"/>
  <c r="AA22" i="4" s="1"/>
  <c r="AB22" i="4" s="1"/>
  <c r="AC22" i="4" s="1"/>
  <c r="AD22" i="4" s="1"/>
  <c r="AE22" i="4" s="1"/>
  <c r="AF22" i="4" s="1"/>
  <c r="AG22" i="4" s="1"/>
  <c r="AH22" i="4" s="1"/>
  <c r="AI22" i="4" s="1"/>
  <c r="AJ22" i="4" s="1"/>
  <c r="AK22" i="4" s="1"/>
  <c r="AL22" i="4" s="1"/>
  <c r="AM22" i="4" s="1"/>
  <c r="AN22" i="4" s="1"/>
  <c r="AO22" i="4" s="1"/>
  <c r="AP22" i="4" s="1"/>
  <c r="AQ22" i="4" s="1"/>
  <c r="AR22" i="4" s="1"/>
  <c r="AS22" i="4" s="1"/>
  <c r="AT22" i="4" s="1"/>
  <c r="AU22" i="4" s="1"/>
  <c r="AV22" i="4" s="1"/>
  <c r="AW22" i="4" s="1"/>
  <c r="AX22" i="4" s="1"/>
  <c r="AY22" i="4" s="1"/>
  <c r="AZ22" i="4" s="1"/>
  <c r="BA22" i="4" s="1"/>
  <c r="BB22" i="4" s="1"/>
  <c r="T21" i="4"/>
  <c r="U21" i="4" s="1"/>
  <c r="V21" i="4" s="1"/>
  <c r="W21" i="4" s="1"/>
  <c r="X21" i="4" s="1"/>
  <c r="Y21" i="4" s="1"/>
  <c r="Z21" i="4" s="1"/>
  <c r="AA21" i="4" s="1"/>
  <c r="AB21" i="4" s="1"/>
  <c r="AC21" i="4" s="1"/>
  <c r="AD21" i="4" s="1"/>
  <c r="AE21" i="4" s="1"/>
  <c r="AF21" i="4" s="1"/>
  <c r="AG21" i="4" s="1"/>
  <c r="AH21" i="4" s="1"/>
  <c r="AI21" i="4" s="1"/>
  <c r="AJ21" i="4" s="1"/>
  <c r="AK21" i="4" s="1"/>
  <c r="AL21" i="4" s="1"/>
  <c r="AM21" i="4" s="1"/>
  <c r="AN21" i="4" s="1"/>
  <c r="AO21" i="4" s="1"/>
  <c r="AP21" i="4" s="1"/>
  <c r="AQ21" i="4" s="1"/>
  <c r="AR21" i="4" s="1"/>
  <c r="AS21" i="4" s="1"/>
  <c r="AT21" i="4" s="1"/>
  <c r="AU21" i="4" s="1"/>
  <c r="AV21" i="4" s="1"/>
  <c r="AW21" i="4" s="1"/>
  <c r="AX21" i="4" s="1"/>
  <c r="AY21" i="4" s="1"/>
  <c r="AZ21" i="4" s="1"/>
  <c r="BA21" i="4" s="1"/>
  <c r="BB21" i="4" s="1"/>
  <c r="AE32" i="4"/>
  <c r="AF32" i="4" s="1"/>
  <c r="AG32" i="4" s="1"/>
  <c r="AH32" i="4" s="1"/>
  <c r="AI32" i="4" s="1"/>
  <c r="AJ32" i="4" s="1"/>
  <c r="AK32" i="4" s="1"/>
  <c r="AL32" i="4" s="1"/>
  <c r="AM32" i="4" s="1"/>
  <c r="AN32" i="4" s="1"/>
  <c r="AO32" i="4" s="1"/>
  <c r="AP32" i="4" s="1"/>
  <c r="AQ32" i="4" s="1"/>
  <c r="AR32" i="4" s="1"/>
  <c r="AS32" i="4" s="1"/>
  <c r="AT32" i="4" s="1"/>
  <c r="AU32" i="4" s="1"/>
  <c r="AV32" i="4" s="1"/>
  <c r="AW32" i="4" s="1"/>
  <c r="AX32" i="4" s="1"/>
  <c r="AY32" i="4" s="1"/>
  <c r="AZ32" i="4" s="1"/>
  <c r="BA32" i="4" s="1"/>
  <c r="BB32" i="4" s="1"/>
  <c r="D56" i="2"/>
  <c r="E56" i="2"/>
  <c r="F56" i="2"/>
  <c r="G56" i="2"/>
  <c r="H56" i="2"/>
  <c r="I56" i="2"/>
  <c r="J56" i="2"/>
  <c r="K56" i="2"/>
  <c r="L56" i="2"/>
  <c r="M56" i="2"/>
  <c r="N56" i="2"/>
  <c r="O56" i="2"/>
  <c r="P56" i="2"/>
  <c r="Q56" i="2"/>
  <c r="R56" i="2"/>
  <c r="T56" i="2"/>
  <c r="U56" i="2"/>
  <c r="V56" i="2"/>
  <c r="W56" i="2"/>
  <c r="X56" i="2"/>
  <c r="Y56" i="2"/>
  <c r="Z56" i="2"/>
  <c r="AA56" i="2"/>
  <c r="AB56" i="2"/>
  <c r="AC56" i="2"/>
  <c r="AD56" i="2"/>
  <c r="AE56" i="2"/>
  <c r="AF56" i="2"/>
  <c r="AG56" i="2"/>
  <c r="AH56" i="2"/>
  <c r="AI56" i="2"/>
  <c r="AJ56" i="2"/>
  <c r="AK56" i="2"/>
  <c r="AL56" i="2"/>
  <c r="AM56" i="2"/>
  <c r="AN56" i="2"/>
  <c r="AO56" i="2"/>
  <c r="AP56" i="2"/>
  <c r="AQ56" i="2"/>
  <c r="AR56" i="2"/>
  <c r="AS56" i="2"/>
  <c r="AT56" i="2"/>
  <c r="D102" i="3"/>
  <c r="E102" i="3"/>
  <c r="F102" i="3"/>
  <c r="G102" i="3"/>
  <c r="H102" i="3"/>
  <c r="I102" i="3"/>
  <c r="J102" i="3"/>
  <c r="K102" i="3"/>
  <c r="L102" i="3"/>
  <c r="M102" i="3"/>
  <c r="N102" i="3"/>
  <c r="O102" i="3"/>
  <c r="P102" i="3"/>
  <c r="AT102" i="3"/>
  <c r="C60" i="3"/>
  <c r="D60" i="3"/>
  <c r="E60" i="3"/>
  <c r="F60" i="3"/>
  <c r="G60" i="3"/>
  <c r="H60" i="3"/>
  <c r="I60" i="3"/>
  <c r="J60" i="3"/>
  <c r="K60" i="3"/>
  <c r="L60" i="3"/>
  <c r="M60" i="3"/>
  <c r="N60" i="3"/>
  <c r="O60" i="3"/>
  <c r="P60" i="3"/>
  <c r="Q60" i="3"/>
  <c r="R60" i="3"/>
  <c r="S60" i="3"/>
  <c r="U60" i="3"/>
  <c r="V60" i="3"/>
  <c r="W60" i="3"/>
  <c r="X60" i="3"/>
  <c r="Z60" i="3"/>
  <c r="AA60" i="3"/>
  <c r="AB60" i="3"/>
  <c r="AC60" i="3"/>
  <c r="AD60" i="3"/>
  <c r="AE60" i="3"/>
  <c r="AF60" i="3"/>
  <c r="AG60" i="3"/>
  <c r="AH60" i="3"/>
  <c r="AI60" i="3"/>
  <c r="AJ60" i="3"/>
  <c r="AK60" i="3"/>
  <c r="AL60" i="3"/>
  <c r="AM60" i="3"/>
  <c r="AN60" i="3"/>
  <c r="AO60" i="3"/>
  <c r="AP60" i="3"/>
  <c r="AQ60" i="3"/>
  <c r="AR60" i="3"/>
  <c r="AS60" i="3"/>
  <c r="AT60" i="3"/>
  <c r="C61" i="3"/>
  <c r="D61" i="3"/>
  <c r="E61" i="3"/>
  <c r="F61" i="3"/>
  <c r="G61" i="3"/>
  <c r="H61" i="3"/>
  <c r="I61" i="3"/>
  <c r="J61" i="3"/>
  <c r="K61" i="3"/>
  <c r="L61" i="3"/>
  <c r="M61" i="3"/>
  <c r="N61" i="3"/>
  <c r="O61" i="3"/>
  <c r="P61" i="3"/>
  <c r="Q61" i="3"/>
  <c r="R61" i="3"/>
  <c r="S61" i="3"/>
  <c r="T61" i="3"/>
  <c r="U61" i="3"/>
  <c r="V61" i="3"/>
  <c r="W61" i="3"/>
  <c r="X61" i="3"/>
  <c r="Z61" i="3"/>
  <c r="AA61" i="3"/>
  <c r="AB61" i="3"/>
  <c r="AC61" i="3"/>
  <c r="AD61" i="3"/>
  <c r="AE61" i="3"/>
  <c r="AF61" i="3"/>
  <c r="AG61" i="3"/>
  <c r="AH61" i="3"/>
  <c r="AI61" i="3"/>
  <c r="AJ61" i="3"/>
  <c r="AK61" i="3"/>
  <c r="AL61" i="3"/>
  <c r="AM61" i="3"/>
  <c r="AN61" i="3"/>
  <c r="AO61" i="3"/>
  <c r="AP61" i="3"/>
  <c r="AQ61" i="3"/>
  <c r="AR61" i="3"/>
  <c r="AS61" i="3"/>
  <c r="AT61" i="3"/>
  <c r="C62" i="3"/>
  <c r="D62" i="3"/>
  <c r="E62" i="3"/>
  <c r="F62" i="3"/>
  <c r="G62" i="3"/>
  <c r="H62" i="3"/>
  <c r="I62" i="3"/>
  <c r="J62" i="3"/>
  <c r="K62" i="3"/>
  <c r="L62" i="3"/>
  <c r="M62" i="3"/>
  <c r="N62" i="3"/>
  <c r="O62" i="3"/>
  <c r="P62" i="3"/>
  <c r="Q62" i="3"/>
  <c r="R62" i="3"/>
  <c r="S62" i="3"/>
  <c r="T62" i="3"/>
  <c r="U62" i="3"/>
  <c r="V62" i="3"/>
  <c r="W62" i="3"/>
  <c r="X62" i="3"/>
  <c r="Z62" i="3"/>
  <c r="AA62" i="3"/>
  <c r="AB62" i="3"/>
  <c r="AC62" i="3"/>
  <c r="AD62" i="3"/>
  <c r="AE62" i="3"/>
  <c r="AF62" i="3"/>
  <c r="AG62" i="3"/>
  <c r="AH62" i="3"/>
  <c r="AI62" i="3"/>
  <c r="AJ62" i="3"/>
  <c r="AK62" i="3"/>
  <c r="AL62" i="3"/>
  <c r="AM62" i="3"/>
  <c r="AN62" i="3"/>
  <c r="AO62" i="3"/>
  <c r="AP62" i="3"/>
  <c r="AQ62" i="3"/>
  <c r="AR62" i="3"/>
  <c r="AS62" i="3"/>
  <c r="AT62" i="3"/>
  <c r="C63" i="3"/>
  <c r="D63" i="3"/>
  <c r="E63" i="3"/>
  <c r="F63" i="3"/>
  <c r="G63" i="3"/>
  <c r="H63" i="3"/>
  <c r="I63" i="3"/>
  <c r="J63" i="3"/>
  <c r="K63" i="3"/>
  <c r="L63" i="3"/>
  <c r="M63" i="3"/>
  <c r="N63" i="3"/>
  <c r="O63" i="3"/>
  <c r="P63" i="3"/>
  <c r="Q63" i="3"/>
  <c r="R63" i="3"/>
  <c r="S63" i="3"/>
  <c r="U63" i="3"/>
  <c r="V63" i="3"/>
  <c r="W63" i="3"/>
  <c r="X63" i="3"/>
  <c r="Z63" i="3"/>
  <c r="AA63" i="3"/>
  <c r="AB63" i="3"/>
  <c r="AC63" i="3"/>
  <c r="AD63" i="3"/>
  <c r="AE63" i="3"/>
  <c r="AF63" i="3"/>
  <c r="AG63" i="3"/>
  <c r="AH63" i="3"/>
  <c r="AI63" i="3"/>
  <c r="AJ63" i="3"/>
  <c r="AK63" i="3"/>
  <c r="AL63" i="3"/>
  <c r="AM63" i="3"/>
  <c r="AN63" i="3"/>
  <c r="AO63" i="3"/>
  <c r="AP63" i="3"/>
  <c r="AQ63" i="3"/>
  <c r="AR63" i="3"/>
  <c r="AS63" i="3"/>
  <c r="AT63" i="3"/>
  <c r="C64" i="3"/>
  <c r="D64" i="3"/>
  <c r="E64" i="3"/>
  <c r="F64" i="3"/>
  <c r="G64" i="3"/>
  <c r="H64" i="3"/>
  <c r="I64" i="3"/>
  <c r="J64" i="3"/>
  <c r="K64" i="3"/>
  <c r="L64" i="3"/>
  <c r="M64" i="3"/>
  <c r="N64" i="3"/>
  <c r="O64" i="3"/>
  <c r="P64" i="3"/>
  <c r="Q64" i="3"/>
  <c r="R64" i="3"/>
  <c r="S64" i="3"/>
  <c r="U64" i="3"/>
  <c r="V64" i="3"/>
  <c r="W64" i="3"/>
  <c r="X64" i="3"/>
  <c r="Z64" i="3"/>
  <c r="AA64" i="3"/>
  <c r="AB64" i="3"/>
  <c r="AC64" i="3"/>
  <c r="AD64" i="3"/>
  <c r="AE64" i="3"/>
  <c r="AF64" i="3"/>
  <c r="AG64" i="3"/>
  <c r="AH64" i="3"/>
  <c r="AI64" i="3"/>
  <c r="AJ64" i="3"/>
  <c r="AK64" i="3"/>
  <c r="AL64" i="3"/>
  <c r="AM64" i="3"/>
  <c r="AN64" i="3"/>
  <c r="AO64" i="3"/>
  <c r="AP64" i="3"/>
  <c r="AQ64" i="3"/>
  <c r="AR64" i="3"/>
  <c r="AS64" i="3"/>
  <c r="AT64" i="3"/>
  <c r="C65" i="3"/>
  <c r="D65" i="3"/>
  <c r="E65" i="3"/>
  <c r="F65" i="3"/>
  <c r="G65" i="3"/>
  <c r="H65" i="3"/>
  <c r="I65" i="3"/>
  <c r="J65" i="3"/>
  <c r="K65" i="3"/>
  <c r="L65" i="3"/>
  <c r="M65" i="3"/>
  <c r="N65" i="3"/>
  <c r="O65" i="3"/>
  <c r="P65" i="3"/>
  <c r="Q65" i="3"/>
  <c r="R65" i="3"/>
  <c r="S65" i="3"/>
  <c r="U65" i="3"/>
  <c r="V65" i="3"/>
  <c r="W65" i="3"/>
  <c r="X65" i="3"/>
  <c r="Z65" i="3"/>
  <c r="AA65" i="3"/>
  <c r="AB65" i="3"/>
  <c r="AC65" i="3"/>
  <c r="AD65" i="3"/>
  <c r="AE65" i="3"/>
  <c r="AF65" i="3"/>
  <c r="AG65" i="3"/>
  <c r="AH65" i="3"/>
  <c r="AI65" i="3"/>
  <c r="AJ65" i="3"/>
  <c r="AK65" i="3"/>
  <c r="AL65" i="3"/>
  <c r="AM65" i="3"/>
  <c r="AN65" i="3"/>
  <c r="AO65" i="3"/>
  <c r="AP65" i="3"/>
  <c r="AQ65" i="3"/>
  <c r="AR65" i="3"/>
  <c r="AS65" i="3"/>
  <c r="AT65" i="3"/>
  <c r="C66" i="3"/>
  <c r="D66" i="3"/>
  <c r="E66" i="3"/>
  <c r="F66" i="3"/>
  <c r="G66" i="3"/>
  <c r="H66" i="3"/>
  <c r="I66" i="3"/>
  <c r="J66" i="3"/>
  <c r="K66" i="3"/>
  <c r="L66" i="3"/>
  <c r="M66" i="3"/>
  <c r="N66" i="3"/>
  <c r="O66" i="3"/>
  <c r="P66" i="3"/>
  <c r="Q66" i="3"/>
  <c r="R66" i="3"/>
  <c r="S66" i="3"/>
  <c r="U66" i="3"/>
  <c r="V66" i="3"/>
  <c r="W66" i="3"/>
  <c r="X66" i="3"/>
  <c r="Z66" i="3"/>
  <c r="AA66" i="3"/>
  <c r="AB66" i="3"/>
  <c r="AC66" i="3"/>
  <c r="AD66" i="3"/>
  <c r="AE66" i="3"/>
  <c r="AF66" i="3"/>
  <c r="AG66" i="3"/>
  <c r="AH66" i="3"/>
  <c r="AI66" i="3"/>
  <c r="AJ66" i="3"/>
  <c r="AK66" i="3"/>
  <c r="AL66" i="3"/>
  <c r="AM66" i="3"/>
  <c r="AN66" i="3"/>
  <c r="AO66" i="3"/>
  <c r="AP66" i="3"/>
  <c r="AQ66" i="3"/>
  <c r="AR66" i="3"/>
  <c r="AS66" i="3"/>
  <c r="AT66" i="3"/>
  <c r="C67" i="3"/>
  <c r="D67" i="3"/>
  <c r="E67" i="3"/>
  <c r="F67" i="3"/>
  <c r="G67" i="3"/>
  <c r="H67" i="3"/>
  <c r="I67" i="3"/>
  <c r="J67" i="3"/>
  <c r="K67" i="3"/>
  <c r="L67" i="3"/>
  <c r="M67" i="3"/>
  <c r="N67" i="3"/>
  <c r="O67" i="3"/>
  <c r="P67" i="3"/>
  <c r="Q67" i="3"/>
  <c r="R67" i="3"/>
  <c r="S67" i="3"/>
  <c r="U67" i="3"/>
  <c r="V67" i="3"/>
  <c r="W67" i="3"/>
  <c r="X67" i="3"/>
  <c r="Z67" i="3"/>
  <c r="AA67" i="3"/>
  <c r="AB67" i="3"/>
  <c r="AC67" i="3"/>
  <c r="AD67" i="3"/>
  <c r="AE67" i="3"/>
  <c r="AF67" i="3"/>
  <c r="AG67" i="3"/>
  <c r="AH67" i="3"/>
  <c r="AI67" i="3"/>
  <c r="AJ67" i="3"/>
  <c r="AK67" i="3"/>
  <c r="AL67" i="3"/>
  <c r="AM67" i="3"/>
  <c r="AN67" i="3"/>
  <c r="AO67" i="3"/>
  <c r="AP67" i="3"/>
  <c r="AQ67" i="3"/>
  <c r="AR67" i="3"/>
  <c r="AS67" i="3"/>
  <c r="AT67" i="3"/>
  <c r="C68" i="3"/>
  <c r="D68" i="3"/>
  <c r="E68" i="3"/>
  <c r="F68" i="3"/>
  <c r="G68" i="3"/>
  <c r="H68" i="3"/>
  <c r="I68" i="3"/>
  <c r="J68" i="3"/>
  <c r="K68" i="3"/>
  <c r="L68" i="3"/>
  <c r="M68" i="3"/>
  <c r="N68" i="3"/>
  <c r="O68" i="3"/>
  <c r="P68" i="3"/>
  <c r="Q68" i="3"/>
  <c r="R68" i="3"/>
  <c r="S68" i="3"/>
  <c r="U68" i="3"/>
  <c r="V68" i="3"/>
  <c r="W68" i="3"/>
  <c r="X68" i="3"/>
  <c r="Z68" i="3"/>
  <c r="AA68" i="3"/>
  <c r="AB68" i="3"/>
  <c r="AC68" i="3"/>
  <c r="AD68" i="3"/>
  <c r="AE68" i="3"/>
  <c r="AF68" i="3"/>
  <c r="AG68" i="3"/>
  <c r="AH68" i="3"/>
  <c r="AI68" i="3"/>
  <c r="AJ68" i="3"/>
  <c r="AK68" i="3"/>
  <c r="AL68" i="3"/>
  <c r="AM68" i="3"/>
  <c r="AN68" i="3"/>
  <c r="AO68" i="3"/>
  <c r="AP68" i="3"/>
  <c r="AQ68" i="3"/>
  <c r="AR68" i="3"/>
  <c r="AS68" i="3"/>
  <c r="AT68" i="3"/>
  <c r="C69" i="3"/>
  <c r="D69" i="3"/>
  <c r="E69" i="3"/>
  <c r="F69" i="3"/>
  <c r="G69" i="3"/>
  <c r="H69" i="3"/>
  <c r="I69" i="3"/>
  <c r="J69" i="3"/>
  <c r="K69" i="3"/>
  <c r="L69" i="3"/>
  <c r="M69" i="3"/>
  <c r="N69" i="3"/>
  <c r="O69" i="3"/>
  <c r="P69" i="3"/>
  <c r="Q69" i="3"/>
  <c r="R69" i="3"/>
  <c r="S69" i="3"/>
  <c r="U69" i="3"/>
  <c r="V69" i="3"/>
  <c r="W69" i="3"/>
  <c r="X69" i="3"/>
  <c r="Z69" i="3"/>
  <c r="AA69" i="3"/>
  <c r="AB69" i="3"/>
  <c r="AC69" i="3"/>
  <c r="AD69" i="3"/>
  <c r="AE69" i="3"/>
  <c r="AF69" i="3"/>
  <c r="AG69" i="3"/>
  <c r="AH69" i="3"/>
  <c r="AI69" i="3"/>
  <c r="AJ69" i="3"/>
  <c r="AK69" i="3"/>
  <c r="AL69" i="3"/>
  <c r="AM69" i="3"/>
  <c r="AN69" i="3"/>
  <c r="AO69" i="3"/>
  <c r="AP69" i="3"/>
  <c r="AQ69" i="3"/>
  <c r="AR69" i="3"/>
  <c r="AS69" i="3"/>
  <c r="AT69" i="3"/>
  <c r="C70" i="3"/>
  <c r="D70" i="3"/>
  <c r="E70" i="3"/>
  <c r="F70" i="3"/>
  <c r="G70" i="3"/>
  <c r="H70" i="3"/>
  <c r="I70" i="3"/>
  <c r="J70" i="3"/>
  <c r="K70" i="3"/>
  <c r="L70" i="3"/>
  <c r="M70" i="3"/>
  <c r="N70" i="3"/>
  <c r="O70" i="3"/>
  <c r="P70" i="3"/>
  <c r="Q70" i="3"/>
  <c r="R70" i="3"/>
  <c r="S70" i="3"/>
  <c r="U70" i="3"/>
  <c r="V70" i="3"/>
  <c r="W70" i="3"/>
  <c r="X70" i="3"/>
  <c r="Z70" i="3"/>
  <c r="AA70" i="3"/>
  <c r="AB70" i="3"/>
  <c r="AC70" i="3"/>
  <c r="AD70" i="3"/>
  <c r="AE70" i="3"/>
  <c r="AF70" i="3"/>
  <c r="AG70" i="3"/>
  <c r="AH70" i="3"/>
  <c r="AI70" i="3"/>
  <c r="AJ70" i="3"/>
  <c r="AK70" i="3"/>
  <c r="AL70" i="3"/>
  <c r="AM70" i="3"/>
  <c r="AN70" i="3"/>
  <c r="AO70" i="3"/>
  <c r="AP70" i="3"/>
  <c r="AQ70" i="3"/>
  <c r="AR70" i="3"/>
  <c r="AS70" i="3"/>
  <c r="AT70" i="3"/>
  <c r="C71" i="3"/>
  <c r="D71" i="3"/>
  <c r="E71" i="3"/>
  <c r="F71" i="3"/>
  <c r="G71" i="3"/>
  <c r="H71" i="3"/>
  <c r="I71" i="3"/>
  <c r="J71" i="3"/>
  <c r="K71" i="3"/>
  <c r="L71" i="3"/>
  <c r="M71" i="3"/>
  <c r="N71" i="3"/>
  <c r="O71" i="3"/>
  <c r="P71" i="3"/>
  <c r="Q71" i="3"/>
  <c r="R71" i="3"/>
  <c r="S71" i="3"/>
  <c r="U71" i="3"/>
  <c r="V71" i="3"/>
  <c r="W71" i="3"/>
  <c r="X71" i="3"/>
  <c r="Z71" i="3"/>
  <c r="AA71" i="3"/>
  <c r="AB71" i="3"/>
  <c r="AC71" i="3"/>
  <c r="AD71" i="3"/>
  <c r="AE71" i="3"/>
  <c r="AF71" i="3"/>
  <c r="AG71" i="3"/>
  <c r="AH71" i="3"/>
  <c r="AI71" i="3"/>
  <c r="AJ71" i="3"/>
  <c r="AK71" i="3"/>
  <c r="AL71" i="3"/>
  <c r="AM71" i="3"/>
  <c r="AN71" i="3"/>
  <c r="AO71" i="3"/>
  <c r="AP71" i="3"/>
  <c r="AQ71" i="3"/>
  <c r="AR71" i="3"/>
  <c r="AS71" i="3"/>
  <c r="AT71" i="3"/>
  <c r="C72" i="3"/>
  <c r="D72" i="3"/>
  <c r="E72" i="3"/>
  <c r="F72" i="3"/>
  <c r="G72" i="3"/>
  <c r="H72" i="3"/>
  <c r="I72" i="3"/>
  <c r="J72" i="3"/>
  <c r="K72" i="3"/>
  <c r="L72" i="3"/>
  <c r="M72" i="3"/>
  <c r="N72" i="3"/>
  <c r="O72" i="3"/>
  <c r="P72" i="3"/>
  <c r="Q72" i="3"/>
  <c r="R72" i="3"/>
  <c r="S72" i="3"/>
  <c r="U72" i="3"/>
  <c r="V72" i="3"/>
  <c r="W72" i="3"/>
  <c r="X72" i="3"/>
  <c r="Z72" i="3"/>
  <c r="AA72" i="3"/>
  <c r="AB72" i="3"/>
  <c r="AC72" i="3"/>
  <c r="AD72" i="3"/>
  <c r="AE72" i="3"/>
  <c r="AF72" i="3"/>
  <c r="AG72" i="3"/>
  <c r="AH72" i="3"/>
  <c r="AI72" i="3"/>
  <c r="AJ72" i="3"/>
  <c r="AK72" i="3"/>
  <c r="AL72" i="3"/>
  <c r="AM72" i="3"/>
  <c r="AN72" i="3"/>
  <c r="AO72" i="3"/>
  <c r="AP72" i="3"/>
  <c r="AQ72" i="3"/>
  <c r="AR72" i="3"/>
  <c r="AS72" i="3"/>
  <c r="AT72" i="3"/>
  <c r="C73" i="3"/>
  <c r="D73" i="3"/>
  <c r="E73" i="3"/>
  <c r="F73" i="3"/>
  <c r="G73" i="3"/>
  <c r="H73" i="3"/>
  <c r="I73" i="3"/>
  <c r="J73" i="3"/>
  <c r="K73" i="3"/>
  <c r="L73" i="3"/>
  <c r="M73" i="3"/>
  <c r="N73" i="3"/>
  <c r="O73" i="3"/>
  <c r="P73" i="3"/>
  <c r="Q73" i="3"/>
  <c r="R73" i="3"/>
  <c r="S73" i="3"/>
  <c r="U73" i="3"/>
  <c r="V73" i="3"/>
  <c r="W73" i="3"/>
  <c r="X73" i="3"/>
  <c r="Z73" i="3"/>
  <c r="AA73" i="3"/>
  <c r="AB73" i="3"/>
  <c r="AC73" i="3"/>
  <c r="AD73" i="3"/>
  <c r="AE73" i="3"/>
  <c r="AF73" i="3"/>
  <c r="AG73" i="3"/>
  <c r="AH73" i="3"/>
  <c r="AI73" i="3"/>
  <c r="AJ73" i="3"/>
  <c r="AK73" i="3"/>
  <c r="AL73" i="3"/>
  <c r="AM73" i="3"/>
  <c r="AN73" i="3"/>
  <c r="AO73" i="3"/>
  <c r="AP73" i="3"/>
  <c r="AQ73" i="3"/>
  <c r="AR73" i="3"/>
  <c r="AS73" i="3"/>
  <c r="AT73" i="3"/>
  <c r="C74" i="3"/>
  <c r="D74" i="3"/>
  <c r="E74" i="3"/>
  <c r="F74" i="3"/>
  <c r="G74" i="3"/>
  <c r="H74" i="3"/>
  <c r="I74" i="3"/>
  <c r="J74" i="3"/>
  <c r="K74" i="3"/>
  <c r="L74" i="3"/>
  <c r="M74" i="3"/>
  <c r="N74" i="3"/>
  <c r="O74" i="3"/>
  <c r="P74" i="3"/>
  <c r="Q74" i="3"/>
  <c r="R74" i="3"/>
  <c r="S74" i="3"/>
  <c r="U74" i="3"/>
  <c r="V74" i="3"/>
  <c r="W74" i="3"/>
  <c r="X74" i="3"/>
  <c r="Z74" i="3"/>
  <c r="AA74" i="3"/>
  <c r="AB74" i="3"/>
  <c r="AC74" i="3"/>
  <c r="AD74" i="3"/>
  <c r="AE74" i="3"/>
  <c r="AF74" i="3"/>
  <c r="AG74" i="3"/>
  <c r="AH74" i="3"/>
  <c r="AI74" i="3"/>
  <c r="AJ74" i="3"/>
  <c r="AK74" i="3"/>
  <c r="AL74" i="3"/>
  <c r="AM74" i="3"/>
  <c r="AN74" i="3"/>
  <c r="AO74" i="3"/>
  <c r="AP74" i="3"/>
  <c r="AQ74" i="3"/>
  <c r="AR74" i="3"/>
  <c r="AS74" i="3"/>
  <c r="AT74" i="3"/>
  <c r="C75" i="3"/>
  <c r="D75" i="3"/>
  <c r="E75" i="3"/>
  <c r="F75" i="3"/>
  <c r="G75" i="3"/>
  <c r="H75" i="3"/>
  <c r="I75" i="3"/>
  <c r="J75" i="3"/>
  <c r="K75" i="3"/>
  <c r="L75" i="3"/>
  <c r="M75" i="3"/>
  <c r="N75" i="3"/>
  <c r="O75" i="3"/>
  <c r="P75" i="3"/>
  <c r="Q75" i="3"/>
  <c r="R75" i="3"/>
  <c r="S75" i="3"/>
  <c r="C76" i="3"/>
  <c r="D76" i="3"/>
  <c r="E76" i="3"/>
  <c r="F76" i="3"/>
  <c r="G76" i="3"/>
  <c r="H76" i="3"/>
  <c r="I76" i="3"/>
  <c r="J76" i="3"/>
  <c r="K76" i="3"/>
  <c r="L76" i="3"/>
  <c r="M76" i="3"/>
  <c r="N76" i="3"/>
  <c r="O76" i="3"/>
  <c r="P76" i="3"/>
  <c r="Q76" i="3"/>
  <c r="R76" i="3"/>
  <c r="S76" i="3"/>
  <c r="T76" i="3"/>
  <c r="C77" i="3"/>
  <c r="D77" i="3"/>
  <c r="E77" i="3"/>
  <c r="F77" i="3"/>
  <c r="G77" i="3"/>
  <c r="H77" i="3"/>
  <c r="I77" i="3"/>
  <c r="J77" i="3"/>
  <c r="K77" i="3"/>
  <c r="L77" i="3"/>
  <c r="M77" i="3"/>
  <c r="N77" i="3"/>
  <c r="O77" i="3"/>
  <c r="P77" i="3"/>
  <c r="Q77" i="3"/>
  <c r="R77" i="3"/>
  <c r="S77" i="3"/>
  <c r="T77" i="3"/>
  <c r="U77" i="3"/>
  <c r="C78" i="3"/>
  <c r="D78" i="3"/>
  <c r="E78" i="3"/>
  <c r="F78" i="3"/>
  <c r="G78" i="3"/>
  <c r="H78" i="3"/>
  <c r="I78" i="3"/>
  <c r="J78" i="3"/>
  <c r="K78" i="3"/>
  <c r="L78" i="3"/>
  <c r="M78" i="3"/>
  <c r="N78" i="3"/>
  <c r="O78" i="3"/>
  <c r="P78" i="3"/>
  <c r="Q78" i="3"/>
  <c r="R78" i="3"/>
  <c r="S78" i="3"/>
  <c r="T78" i="3"/>
  <c r="U78" i="3"/>
  <c r="V78" i="3"/>
  <c r="C79" i="3"/>
  <c r="D79" i="3"/>
  <c r="E79" i="3"/>
  <c r="F79" i="3"/>
  <c r="G79" i="3"/>
  <c r="H79" i="3"/>
  <c r="I79" i="3"/>
  <c r="J79" i="3"/>
  <c r="K79" i="3"/>
  <c r="L79" i="3"/>
  <c r="M79" i="3"/>
  <c r="N79" i="3"/>
  <c r="O79" i="3"/>
  <c r="P79" i="3"/>
  <c r="Q79" i="3"/>
  <c r="R79" i="3"/>
  <c r="S79" i="3"/>
  <c r="T79" i="3"/>
  <c r="U79" i="3"/>
  <c r="V79" i="3"/>
  <c r="W79" i="3"/>
  <c r="C80" i="3"/>
  <c r="D80" i="3"/>
  <c r="E80" i="3"/>
  <c r="F80" i="3"/>
  <c r="G80" i="3"/>
  <c r="H80" i="3"/>
  <c r="I80" i="3"/>
  <c r="J80" i="3"/>
  <c r="K80" i="3"/>
  <c r="L80" i="3"/>
  <c r="M80" i="3"/>
  <c r="N80" i="3"/>
  <c r="O80" i="3"/>
  <c r="P80" i="3"/>
  <c r="Q80" i="3"/>
  <c r="R80" i="3"/>
  <c r="S80" i="3"/>
  <c r="T80" i="3"/>
  <c r="U80" i="3"/>
  <c r="V80" i="3"/>
  <c r="W80" i="3"/>
  <c r="X80" i="3"/>
  <c r="C81" i="3"/>
  <c r="D81" i="3"/>
  <c r="E81" i="3"/>
  <c r="F81" i="3"/>
  <c r="G81" i="3"/>
  <c r="H81" i="3"/>
  <c r="I81" i="3"/>
  <c r="J81" i="3"/>
  <c r="K81" i="3"/>
  <c r="L81" i="3"/>
  <c r="M81" i="3"/>
  <c r="N81" i="3"/>
  <c r="O81" i="3"/>
  <c r="P81" i="3"/>
  <c r="Q81" i="3"/>
  <c r="R81" i="3"/>
  <c r="S81" i="3"/>
  <c r="T81" i="3"/>
  <c r="U81" i="3"/>
  <c r="V81" i="3"/>
  <c r="W81" i="3"/>
  <c r="X81" i="3"/>
  <c r="Y81" i="3"/>
  <c r="C82" i="3"/>
  <c r="D82" i="3"/>
  <c r="E82" i="3"/>
  <c r="F82" i="3"/>
  <c r="G82" i="3"/>
  <c r="H82" i="3"/>
  <c r="I82" i="3"/>
  <c r="J82" i="3"/>
  <c r="K82" i="3"/>
  <c r="L82" i="3"/>
  <c r="M82" i="3"/>
  <c r="N82" i="3"/>
  <c r="O82" i="3"/>
  <c r="P82" i="3"/>
  <c r="Q82" i="3"/>
  <c r="R82" i="3"/>
  <c r="S82" i="3"/>
  <c r="T82" i="3"/>
  <c r="U82" i="3"/>
  <c r="V82" i="3"/>
  <c r="W82" i="3"/>
  <c r="X82" i="3"/>
  <c r="Y82" i="3"/>
  <c r="Z82" i="3"/>
  <c r="C83" i="3"/>
  <c r="D83" i="3"/>
  <c r="E83" i="3"/>
  <c r="F83" i="3"/>
  <c r="G83" i="3"/>
  <c r="H83" i="3"/>
  <c r="I83" i="3"/>
  <c r="J83" i="3"/>
  <c r="K83" i="3"/>
  <c r="L83" i="3"/>
  <c r="M83" i="3"/>
  <c r="N83" i="3"/>
  <c r="O83" i="3"/>
  <c r="P83" i="3"/>
  <c r="Q83" i="3"/>
  <c r="R83" i="3"/>
  <c r="S83" i="3"/>
  <c r="T83" i="3"/>
  <c r="U83" i="3"/>
  <c r="V83" i="3"/>
  <c r="W83" i="3"/>
  <c r="X83" i="3"/>
  <c r="Y83" i="3"/>
  <c r="Z83" i="3"/>
  <c r="AA83" i="3"/>
  <c r="C84" i="3"/>
  <c r="D84" i="3"/>
  <c r="E84" i="3"/>
  <c r="F84" i="3"/>
  <c r="G84" i="3"/>
  <c r="H84" i="3"/>
  <c r="I84" i="3"/>
  <c r="J84" i="3"/>
  <c r="K84" i="3"/>
  <c r="L84" i="3"/>
  <c r="M84" i="3"/>
  <c r="N84" i="3"/>
  <c r="O84" i="3"/>
  <c r="P84" i="3"/>
  <c r="Q84" i="3"/>
  <c r="R84" i="3"/>
  <c r="S84" i="3"/>
  <c r="T84" i="3"/>
  <c r="U84" i="3"/>
  <c r="V84" i="3"/>
  <c r="W84" i="3"/>
  <c r="X84" i="3"/>
  <c r="Y84" i="3"/>
  <c r="Z84" i="3"/>
  <c r="AA84" i="3"/>
  <c r="AB84" i="3"/>
  <c r="C85" i="3"/>
  <c r="D85" i="3"/>
  <c r="E85" i="3"/>
  <c r="F85" i="3"/>
  <c r="G85" i="3"/>
  <c r="H85" i="3"/>
  <c r="I85" i="3"/>
  <c r="J85" i="3"/>
  <c r="K85" i="3"/>
  <c r="L85" i="3"/>
  <c r="M85" i="3"/>
  <c r="N85" i="3"/>
  <c r="O85" i="3"/>
  <c r="P85" i="3"/>
  <c r="Q85" i="3"/>
  <c r="R85" i="3"/>
  <c r="S85" i="3"/>
  <c r="T85" i="3"/>
  <c r="U85" i="3"/>
  <c r="V85" i="3"/>
  <c r="W85" i="3"/>
  <c r="X85" i="3"/>
  <c r="Y85" i="3"/>
  <c r="Z85" i="3"/>
  <c r="AA85" i="3"/>
  <c r="AB85" i="3"/>
  <c r="AC85" i="3"/>
  <c r="C86" i="3"/>
  <c r="D86" i="3"/>
  <c r="E86" i="3"/>
  <c r="F86" i="3"/>
  <c r="G86" i="3"/>
  <c r="H86" i="3"/>
  <c r="I86" i="3"/>
  <c r="J86" i="3"/>
  <c r="K86" i="3"/>
  <c r="L86" i="3"/>
  <c r="M86" i="3"/>
  <c r="N86" i="3"/>
  <c r="O86" i="3"/>
  <c r="P86" i="3"/>
  <c r="Q86" i="3"/>
  <c r="R86" i="3"/>
  <c r="S86" i="3"/>
  <c r="T86" i="3"/>
  <c r="U86" i="3"/>
  <c r="V86" i="3"/>
  <c r="W86" i="3"/>
  <c r="X86" i="3"/>
  <c r="Y86" i="3"/>
  <c r="Z86" i="3"/>
  <c r="AA86" i="3"/>
  <c r="AB86" i="3"/>
  <c r="AC86" i="3"/>
  <c r="AD86" i="3"/>
  <c r="C87" i="3"/>
  <c r="D87" i="3"/>
  <c r="E87" i="3"/>
  <c r="F87" i="3"/>
  <c r="G87" i="3"/>
  <c r="H87" i="3"/>
  <c r="I87" i="3"/>
  <c r="J87" i="3"/>
  <c r="K87" i="3"/>
  <c r="L87" i="3"/>
  <c r="M87" i="3"/>
  <c r="N87" i="3"/>
  <c r="O87" i="3"/>
  <c r="P87" i="3"/>
  <c r="Q87" i="3"/>
  <c r="R87" i="3"/>
  <c r="S87" i="3"/>
  <c r="T87" i="3"/>
  <c r="U87" i="3"/>
  <c r="V87" i="3"/>
  <c r="W87" i="3"/>
  <c r="X87" i="3"/>
  <c r="Y87" i="3"/>
  <c r="Z87" i="3"/>
  <c r="AA87" i="3"/>
  <c r="AB87" i="3"/>
  <c r="AC87" i="3"/>
  <c r="AD87" i="3"/>
  <c r="AE87" i="3"/>
  <c r="AF87" i="3"/>
  <c r="AG87" i="3"/>
  <c r="AI87" i="3"/>
  <c r="AJ87" i="3"/>
  <c r="AK87" i="3"/>
  <c r="AL87" i="3"/>
  <c r="AM87" i="3"/>
  <c r="AN87" i="3"/>
  <c r="AO87" i="3"/>
  <c r="AP87" i="3"/>
  <c r="AQ87" i="3"/>
  <c r="AR87" i="3"/>
  <c r="AS87" i="3"/>
  <c r="AT87" i="3"/>
  <c r="C88" i="3"/>
  <c r="D88" i="3"/>
  <c r="E88" i="3"/>
  <c r="F88" i="3"/>
  <c r="G88" i="3"/>
  <c r="H88" i="3"/>
  <c r="I88" i="3"/>
  <c r="J88" i="3"/>
  <c r="K88" i="3"/>
  <c r="L88" i="3"/>
  <c r="M88" i="3"/>
  <c r="N88" i="3"/>
  <c r="O88" i="3"/>
  <c r="P88" i="3"/>
  <c r="Q88" i="3"/>
  <c r="R88" i="3"/>
  <c r="S88" i="3"/>
  <c r="T88" i="3"/>
  <c r="U88" i="3"/>
  <c r="V88" i="3"/>
  <c r="W88" i="3"/>
  <c r="X88" i="3"/>
  <c r="Y88" i="3"/>
  <c r="Z88" i="3"/>
  <c r="AA88" i="3"/>
  <c r="AB88" i="3"/>
  <c r="AC88" i="3"/>
  <c r="AD88" i="3"/>
  <c r="AE88" i="3"/>
  <c r="AF88" i="3"/>
  <c r="AG88" i="3"/>
  <c r="AH88" i="3"/>
  <c r="AI88" i="3"/>
  <c r="AJ88" i="3"/>
  <c r="AK88" i="3"/>
  <c r="AL88" i="3"/>
  <c r="AM88" i="3"/>
  <c r="AN88" i="3"/>
  <c r="AO88" i="3"/>
  <c r="AP88" i="3"/>
  <c r="AQ88" i="3"/>
  <c r="AR88" i="3"/>
  <c r="AS88" i="3"/>
  <c r="AT88" i="3"/>
  <c r="C89" i="3"/>
  <c r="D89" i="3"/>
  <c r="E89" i="3"/>
  <c r="F89" i="3"/>
  <c r="G89" i="3"/>
  <c r="H89" i="3"/>
  <c r="I89" i="3"/>
  <c r="J89" i="3"/>
  <c r="K89" i="3"/>
  <c r="L89" i="3"/>
  <c r="M89" i="3"/>
  <c r="N89" i="3"/>
  <c r="O89" i="3"/>
  <c r="P89" i="3"/>
  <c r="Q89" i="3"/>
  <c r="R89" i="3"/>
  <c r="S89" i="3"/>
  <c r="T89" i="3"/>
  <c r="U89" i="3"/>
  <c r="V89" i="3"/>
  <c r="W89" i="3"/>
  <c r="X89" i="3"/>
  <c r="Y89" i="3"/>
  <c r="Z89" i="3"/>
  <c r="AA89" i="3"/>
  <c r="AB89" i="3"/>
  <c r="AC89" i="3"/>
  <c r="AD89" i="3"/>
  <c r="AE89" i="3"/>
  <c r="AF89" i="3"/>
  <c r="AG89" i="3"/>
  <c r="AH89" i="3"/>
  <c r="AI89" i="3"/>
  <c r="AJ89" i="3"/>
  <c r="AK89" i="3"/>
  <c r="AL89" i="3"/>
  <c r="AM89" i="3"/>
  <c r="AN89" i="3"/>
  <c r="AO89" i="3"/>
  <c r="AP89" i="3"/>
  <c r="AQ89" i="3"/>
  <c r="AR89" i="3"/>
  <c r="AS89" i="3"/>
  <c r="AT89" i="3"/>
  <c r="C90" i="3"/>
  <c r="D90" i="3"/>
  <c r="E90" i="3"/>
  <c r="F90" i="3"/>
  <c r="G90" i="3"/>
  <c r="H90" i="3"/>
  <c r="I90" i="3"/>
  <c r="J90" i="3"/>
  <c r="K90" i="3"/>
  <c r="L90" i="3"/>
  <c r="M90" i="3"/>
  <c r="N90" i="3"/>
  <c r="O90" i="3"/>
  <c r="P90" i="3"/>
  <c r="Q90" i="3"/>
  <c r="R90" i="3"/>
  <c r="S90" i="3"/>
  <c r="T90" i="3"/>
  <c r="U90" i="3"/>
  <c r="V90" i="3"/>
  <c r="W90" i="3"/>
  <c r="X90" i="3"/>
  <c r="Y90" i="3"/>
  <c r="Z90" i="3"/>
  <c r="AA90" i="3"/>
  <c r="AB90" i="3"/>
  <c r="AC90" i="3"/>
  <c r="AD90" i="3"/>
  <c r="AE90" i="3"/>
  <c r="AF90" i="3"/>
  <c r="AG90" i="3"/>
  <c r="AH90" i="3"/>
  <c r="AI90" i="3"/>
  <c r="AJ90" i="3"/>
  <c r="AK90" i="3"/>
  <c r="AL90" i="3"/>
  <c r="AM90" i="3"/>
  <c r="AN90" i="3"/>
  <c r="AO90" i="3"/>
  <c r="AP90" i="3"/>
  <c r="AQ90" i="3"/>
  <c r="AR90" i="3"/>
  <c r="AS90" i="3"/>
  <c r="AT90" i="3"/>
  <c r="C91" i="3"/>
  <c r="D91" i="3"/>
  <c r="E91" i="3"/>
  <c r="F91" i="3"/>
  <c r="G91" i="3"/>
  <c r="H91" i="3"/>
  <c r="I91" i="3"/>
  <c r="J91" i="3"/>
  <c r="K91" i="3"/>
  <c r="L91" i="3"/>
  <c r="M91" i="3"/>
  <c r="N91" i="3"/>
  <c r="O91" i="3"/>
  <c r="P91" i="3"/>
  <c r="Q91" i="3"/>
  <c r="R91" i="3"/>
  <c r="S91" i="3"/>
  <c r="T91" i="3"/>
  <c r="U91" i="3"/>
  <c r="V91" i="3"/>
  <c r="W91" i="3"/>
  <c r="X91" i="3"/>
  <c r="Y91" i="3"/>
  <c r="Z91" i="3"/>
  <c r="AA91" i="3"/>
  <c r="AB91" i="3"/>
  <c r="AC91" i="3"/>
  <c r="AD91" i="3"/>
  <c r="AE91" i="3"/>
  <c r="AF91" i="3"/>
  <c r="AG91" i="3"/>
  <c r="AH91" i="3"/>
  <c r="AI91" i="3"/>
  <c r="AJ91" i="3"/>
  <c r="AK91" i="3"/>
  <c r="AL91" i="3"/>
  <c r="AM91" i="3"/>
  <c r="AN91" i="3"/>
  <c r="AO91" i="3"/>
  <c r="AP91" i="3"/>
  <c r="AQ91" i="3"/>
  <c r="AR91" i="3"/>
  <c r="AS91" i="3"/>
  <c r="AT91" i="3"/>
  <c r="C92" i="3"/>
  <c r="D92" i="3"/>
  <c r="E92" i="3"/>
  <c r="F92" i="3"/>
  <c r="G92" i="3"/>
  <c r="H92" i="3"/>
  <c r="I92" i="3"/>
  <c r="J92" i="3"/>
  <c r="K92" i="3"/>
  <c r="L92" i="3"/>
  <c r="M92" i="3"/>
  <c r="N92" i="3"/>
  <c r="O92" i="3"/>
  <c r="P92" i="3"/>
  <c r="Q92" i="3"/>
  <c r="R92" i="3"/>
  <c r="S92" i="3"/>
  <c r="T92" i="3"/>
  <c r="U92" i="3"/>
  <c r="V92" i="3"/>
  <c r="W92" i="3"/>
  <c r="X92" i="3"/>
  <c r="Y92" i="3"/>
  <c r="Z92" i="3"/>
  <c r="AA92" i="3"/>
  <c r="AB92" i="3"/>
  <c r="AC92" i="3"/>
  <c r="AD92" i="3"/>
  <c r="AE92" i="3"/>
  <c r="AF92" i="3"/>
  <c r="AG92" i="3"/>
  <c r="AH92" i="3"/>
  <c r="AI92" i="3"/>
  <c r="AJ92" i="3"/>
  <c r="AK92" i="3"/>
  <c r="AL92" i="3"/>
  <c r="AM92" i="3"/>
  <c r="AN92" i="3"/>
  <c r="AO92" i="3"/>
  <c r="AP92" i="3"/>
  <c r="AQ92" i="3"/>
  <c r="AR92" i="3"/>
  <c r="AS92" i="3"/>
  <c r="AT92" i="3"/>
  <c r="C93" i="3"/>
  <c r="D93" i="3"/>
  <c r="E93" i="3"/>
  <c r="F93" i="3"/>
  <c r="G93" i="3"/>
  <c r="H93" i="3"/>
  <c r="I93" i="3"/>
  <c r="J93" i="3"/>
  <c r="K93" i="3"/>
  <c r="L93" i="3"/>
  <c r="M93" i="3"/>
  <c r="N93" i="3"/>
  <c r="O93" i="3"/>
  <c r="P93" i="3"/>
  <c r="Q93" i="3"/>
  <c r="R93" i="3"/>
  <c r="S93" i="3"/>
  <c r="T93" i="3"/>
  <c r="U93" i="3"/>
  <c r="V93" i="3"/>
  <c r="W93" i="3"/>
  <c r="X93" i="3"/>
  <c r="Y93" i="3"/>
  <c r="Z93" i="3"/>
  <c r="AA93" i="3"/>
  <c r="AB93" i="3"/>
  <c r="AC93" i="3"/>
  <c r="AD93" i="3"/>
  <c r="AE93" i="3"/>
  <c r="AF93" i="3"/>
  <c r="AG93" i="3"/>
  <c r="AH93" i="3"/>
  <c r="AI93" i="3"/>
  <c r="AJ93" i="3"/>
  <c r="AK93" i="3"/>
  <c r="AL93" i="3"/>
  <c r="AM93" i="3"/>
  <c r="AN93" i="3"/>
  <c r="AO93" i="3"/>
  <c r="AP93" i="3"/>
  <c r="AQ93" i="3"/>
  <c r="AR93" i="3"/>
  <c r="AS93" i="3"/>
  <c r="AT93" i="3"/>
  <c r="C94" i="3"/>
  <c r="D94" i="3"/>
  <c r="E94" i="3"/>
  <c r="F94" i="3"/>
  <c r="G94" i="3"/>
  <c r="H94" i="3"/>
  <c r="I94" i="3"/>
  <c r="J94" i="3"/>
  <c r="K94" i="3"/>
  <c r="L94" i="3"/>
  <c r="M94" i="3"/>
  <c r="N94" i="3"/>
  <c r="O94" i="3"/>
  <c r="P94" i="3"/>
  <c r="Q94" i="3"/>
  <c r="R94" i="3"/>
  <c r="S94" i="3"/>
  <c r="T94" i="3"/>
  <c r="U94" i="3"/>
  <c r="V94" i="3"/>
  <c r="W94" i="3"/>
  <c r="X94" i="3"/>
  <c r="Y94" i="3"/>
  <c r="Z94" i="3"/>
  <c r="AA94" i="3"/>
  <c r="AB94" i="3"/>
  <c r="AC94" i="3"/>
  <c r="AD94" i="3"/>
  <c r="AE94" i="3"/>
  <c r="AF94" i="3"/>
  <c r="AG94" i="3"/>
  <c r="AH94" i="3"/>
  <c r="AI94" i="3"/>
  <c r="AJ94" i="3"/>
  <c r="AK94" i="3"/>
  <c r="AL94" i="3"/>
  <c r="AM94" i="3"/>
  <c r="AN94" i="3"/>
  <c r="AO94" i="3"/>
  <c r="AP94" i="3"/>
  <c r="AQ94" i="3"/>
  <c r="AR94" i="3"/>
  <c r="AS94" i="3"/>
  <c r="AT94" i="3"/>
  <c r="C95" i="3"/>
  <c r="D95" i="3"/>
  <c r="E95" i="3"/>
  <c r="F95" i="3"/>
  <c r="G95" i="3"/>
  <c r="H95" i="3"/>
  <c r="I95" i="3"/>
  <c r="J95" i="3"/>
  <c r="K95" i="3"/>
  <c r="L95" i="3"/>
  <c r="M95" i="3"/>
  <c r="N95" i="3"/>
  <c r="O95" i="3"/>
  <c r="P95" i="3"/>
  <c r="Q95" i="3"/>
  <c r="R95" i="3"/>
  <c r="S95" i="3"/>
  <c r="T95" i="3"/>
  <c r="U95" i="3"/>
  <c r="V95" i="3"/>
  <c r="W95" i="3"/>
  <c r="X95" i="3"/>
  <c r="Y95" i="3"/>
  <c r="Z95" i="3"/>
  <c r="AA95" i="3"/>
  <c r="AB95" i="3"/>
  <c r="AC95" i="3"/>
  <c r="AD95" i="3"/>
  <c r="AE95" i="3"/>
  <c r="AF95" i="3"/>
  <c r="AG95" i="3"/>
  <c r="AH95" i="3"/>
  <c r="AI95" i="3"/>
  <c r="AJ95" i="3"/>
  <c r="AK95" i="3"/>
  <c r="AL95" i="3"/>
  <c r="AM95" i="3"/>
  <c r="AN95" i="3"/>
  <c r="AO95" i="3"/>
  <c r="AP95" i="3"/>
  <c r="AQ95" i="3"/>
  <c r="AR95" i="3"/>
  <c r="AS95" i="3"/>
  <c r="AT95" i="3"/>
  <c r="C96" i="3"/>
  <c r="D96" i="3"/>
  <c r="E96" i="3"/>
  <c r="F96" i="3"/>
  <c r="G96" i="3"/>
  <c r="H96" i="3"/>
  <c r="I96" i="3"/>
  <c r="J96" i="3"/>
  <c r="K96" i="3"/>
  <c r="L96" i="3"/>
  <c r="M96" i="3"/>
  <c r="N96" i="3"/>
  <c r="O96" i="3"/>
  <c r="P96" i="3"/>
  <c r="Q96" i="3"/>
  <c r="R96" i="3"/>
  <c r="S96" i="3"/>
  <c r="T96" i="3"/>
  <c r="U96" i="3"/>
  <c r="V96" i="3"/>
  <c r="W96" i="3"/>
  <c r="X96" i="3"/>
  <c r="Y96" i="3"/>
  <c r="Z96" i="3"/>
  <c r="AA96" i="3"/>
  <c r="AB96" i="3"/>
  <c r="AC96" i="3"/>
  <c r="AD96" i="3"/>
  <c r="AE96" i="3"/>
  <c r="AF96" i="3"/>
  <c r="AG96" i="3"/>
  <c r="AH96" i="3"/>
  <c r="AI96" i="3"/>
  <c r="AJ96" i="3"/>
  <c r="AK96" i="3"/>
  <c r="AL96" i="3"/>
  <c r="AM96" i="3"/>
  <c r="AN96" i="3"/>
  <c r="AO96" i="3"/>
  <c r="AP96" i="3"/>
  <c r="AQ96" i="3"/>
  <c r="AR96" i="3"/>
  <c r="AS96" i="3"/>
  <c r="AT96" i="3"/>
  <c r="C97" i="3"/>
  <c r="D97" i="3"/>
  <c r="E97" i="3"/>
  <c r="F97" i="3"/>
  <c r="G97" i="3"/>
  <c r="H97" i="3"/>
  <c r="I97" i="3"/>
  <c r="J97" i="3"/>
  <c r="K97" i="3"/>
  <c r="L97" i="3"/>
  <c r="M97" i="3"/>
  <c r="N97" i="3"/>
  <c r="O97" i="3"/>
  <c r="P97" i="3"/>
  <c r="Q97" i="3"/>
  <c r="R97" i="3"/>
  <c r="S97" i="3"/>
  <c r="T97" i="3"/>
  <c r="U97" i="3"/>
  <c r="V97" i="3"/>
  <c r="W97" i="3"/>
  <c r="X97" i="3"/>
  <c r="Y97" i="3"/>
  <c r="Z97" i="3"/>
  <c r="AA97" i="3"/>
  <c r="AB97" i="3"/>
  <c r="AC97" i="3"/>
  <c r="AD97" i="3"/>
  <c r="AE97" i="3"/>
  <c r="AF97" i="3"/>
  <c r="AG97" i="3"/>
  <c r="AH97" i="3"/>
  <c r="AI97" i="3"/>
  <c r="AJ97" i="3"/>
  <c r="AK97" i="3"/>
  <c r="AL97" i="3"/>
  <c r="AM97" i="3"/>
  <c r="AN97" i="3"/>
  <c r="AO97" i="3"/>
  <c r="AP97" i="3"/>
  <c r="AQ97" i="3"/>
  <c r="AR97" i="3"/>
  <c r="AS97" i="3"/>
  <c r="AT97" i="3"/>
  <c r="C98" i="3"/>
  <c r="D98" i="3"/>
  <c r="E98" i="3"/>
  <c r="F98" i="3"/>
  <c r="G98" i="3"/>
  <c r="H98" i="3"/>
  <c r="I98" i="3"/>
  <c r="J98" i="3"/>
  <c r="K98" i="3"/>
  <c r="L98" i="3"/>
  <c r="M98" i="3"/>
  <c r="N98" i="3"/>
  <c r="O98" i="3"/>
  <c r="P98" i="3"/>
  <c r="Q98" i="3"/>
  <c r="R98" i="3"/>
  <c r="S98" i="3"/>
  <c r="T98" i="3"/>
  <c r="U98" i="3"/>
  <c r="V98" i="3"/>
  <c r="W98" i="3"/>
  <c r="X98" i="3"/>
  <c r="Y98" i="3"/>
  <c r="Z98" i="3"/>
  <c r="AA98" i="3"/>
  <c r="AB98" i="3"/>
  <c r="AC98" i="3"/>
  <c r="AD98" i="3"/>
  <c r="AE98" i="3"/>
  <c r="AF98" i="3"/>
  <c r="AG98" i="3"/>
  <c r="AH98" i="3"/>
  <c r="AI98" i="3"/>
  <c r="AJ98" i="3"/>
  <c r="AK98" i="3"/>
  <c r="AL98" i="3"/>
  <c r="AM98" i="3"/>
  <c r="AN98" i="3"/>
  <c r="AO98" i="3"/>
  <c r="AP98" i="3"/>
  <c r="AQ98" i="3"/>
  <c r="AR98" i="3"/>
  <c r="AS98" i="3"/>
  <c r="AT98" i="3"/>
  <c r="C99" i="3"/>
  <c r="D99" i="3"/>
  <c r="E99" i="3"/>
  <c r="F99" i="3"/>
  <c r="G99" i="3"/>
  <c r="H99" i="3"/>
  <c r="I99" i="3"/>
  <c r="J99" i="3"/>
  <c r="K99" i="3"/>
  <c r="L99" i="3"/>
  <c r="M99" i="3"/>
  <c r="N99" i="3"/>
  <c r="O99" i="3"/>
  <c r="P99" i="3"/>
  <c r="Q99" i="3"/>
  <c r="R99" i="3"/>
  <c r="S99" i="3"/>
  <c r="T99" i="3"/>
  <c r="U99" i="3"/>
  <c r="V99" i="3"/>
  <c r="W99" i="3"/>
  <c r="X99" i="3"/>
  <c r="Y99" i="3"/>
  <c r="Z99" i="3"/>
  <c r="AA99" i="3"/>
  <c r="AB99" i="3"/>
  <c r="AC99" i="3"/>
  <c r="AD99" i="3"/>
  <c r="AE99" i="3"/>
  <c r="AF99" i="3"/>
  <c r="AG99" i="3"/>
  <c r="AH99" i="3"/>
  <c r="AI99" i="3"/>
  <c r="AJ99" i="3"/>
  <c r="AK99" i="3"/>
  <c r="AL99" i="3"/>
  <c r="AM99" i="3"/>
  <c r="AN99" i="3"/>
  <c r="AO99" i="3"/>
  <c r="AP99" i="3"/>
  <c r="AQ99" i="3"/>
  <c r="AR99" i="3"/>
  <c r="AS99" i="3"/>
  <c r="AT99" i="3"/>
  <c r="C100" i="3"/>
  <c r="D100" i="3"/>
  <c r="E100" i="3"/>
  <c r="F100" i="3"/>
  <c r="G100" i="3"/>
  <c r="H100" i="3"/>
  <c r="I100" i="3"/>
  <c r="J100" i="3"/>
  <c r="K100" i="3"/>
  <c r="L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AK100" i="3"/>
  <c r="AL100" i="3"/>
  <c r="AM100" i="3"/>
  <c r="AN100" i="3"/>
  <c r="AO100" i="3"/>
  <c r="AP100" i="3"/>
  <c r="AQ100" i="3"/>
  <c r="AR100" i="3"/>
  <c r="AS100" i="3"/>
  <c r="AT100" i="3"/>
  <c r="C101" i="3"/>
  <c r="D101" i="3"/>
  <c r="E101" i="3"/>
  <c r="F101" i="3"/>
  <c r="G101" i="3"/>
  <c r="H101" i="3"/>
  <c r="I101" i="3"/>
  <c r="J101" i="3"/>
  <c r="K101"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AK101" i="3"/>
  <c r="AL101" i="3"/>
  <c r="AM101" i="3"/>
  <c r="AN101" i="3"/>
  <c r="AO101" i="3"/>
  <c r="AP101" i="3"/>
  <c r="AQ101" i="3"/>
  <c r="AR101" i="3"/>
  <c r="AS101" i="3"/>
  <c r="AT101" i="3"/>
  <c r="Q102" i="3"/>
  <c r="R102" i="3"/>
  <c r="S102" i="3"/>
  <c r="T102" i="3"/>
  <c r="U102" i="3"/>
  <c r="V102" i="3"/>
  <c r="W102" i="3"/>
  <c r="X102" i="3"/>
  <c r="Y102" i="3"/>
  <c r="Z102" i="3"/>
  <c r="AA102" i="3"/>
  <c r="AB102" i="3"/>
  <c r="AC102" i="3"/>
  <c r="AD102" i="3"/>
  <c r="AE102" i="3"/>
  <c r="AF102" i="3"/>
  <c r="AG102" i="3"/>
  <c r="AH102" i="3"/>
  <c r="AI102" i="3"/>
  <c r="AJ102" i="3"/>
  <c r="AK102" i="3"/>
  <c r="AL102" i="3"/>
  <c r="AM102" i="3"/>
  <c r="AN102" i="3"/>
  <c r="AO102" i="3"/>
  <c r="AP102" i="3"/>
  <c r="AQ102" i="3"/>
  <c r="AR102" i="3"/>
  <c r="AS102" i="3"/>
  <c r="U59" i="3"/>
  <c r="V59" i="3"/>
  <c r="W59" i="3"/>
  <c r="X59" i="3"/>
  <c r="Z59" i="3"/>
  <c r="AA59" i="3"/>
  <c r="AB59" i="3"/>
  <c r="AC59" i="3"/>
  <c r="AD59" i="3"/>
  <c r="AE59" i="3"/>
  <c r="AF59" i="3"/>
  <c r="AG59" i="3"/>
  <c r="AH59" i="3"/>
  <c r="AI59" i="3"/>
  <c r="AJ59" i="3"/>
  <c r="AK59" i="3"/>
  <c r="AL59" i="3"/>
  <c r="AM59" i="3"/>
  <c r="AN59" i="3"/>
  <c r="AO59" i="3"/>
  <c r="AP59" i="3"/>
  <c r="AQ59" i="3"/>
  <c r="AR59" i="3"/>
  <c r="AS59" i="3"/>
  <c r="AT59" i="3"/>
  <c r="BF29" i="4" l="1"/>
  <c r="C147" i="3" s="1"/>
  <c r="C149" i="3"/>
  <c r="AF32" i="3"/>
  <c r="Y25" i="4"/>
  <c r="Z25" i="4" s="1"/>
  <c r="AA25" i="4" s="1"/>
  <c r="AB25" i="4" s="1"/>
  <c r="AC25" i="4" s="1"/>
  <c r="AD25" i="4" s="1"/>
  <c r="AE25" i="4" s="1"/>
  <c r="AF25" i="4" s="1"/>
  <c r="AG25" i="4" s="1"/>
  <c r="AH25" i="4" s="1"/>
  <c r="AI25" i="4" s="1"/>
  <c r="AJ25" i="4" s="1"/>
  <c r="AK25" i="4" s="1"/>
  <c r="AL25" i="4" s="1"/>
  <c r="AM25" i="4" s="1"/>
  <c r="AN25" i="4" s="1"/>
  <c r="AO25" i="4" s="1"/>
  <c r="AP25" i="4" s="1"/>
  <c r="AQ25" i="4" s="1"/>
  <c r="AR25" i="4" s="1"/>
  <c r="AS25" i="4" s="1"/>
  <c r="AT25" i="4" s="1"/>
  <c r="AU25" i="4" s="1"/>
  <c r="AV25" i="4" s="1"/>
  <c r="AW25" i="4" s="1"/>
  <c r="AX25" i="4" s="1"/>
  <c r="AY25" i="4" s="1"/>
  <c r="AZ25" i="4" s="1"/>
  <c r="BA25" i="4" s="1"/>
  <c r="BB25" i="4" s="1"/>
  <c r="AG32" i="3" l="1"/>
  <c r="BF25" i="4"/>
  <c r="C148" i="3" s="1"/>
  <c r="AH32" i="3" l="1"/>
  <c r="Z27" i="3"/>
  <c r="AC30" i="3"/>
  <c r="AA28" i="3"/>
  <c r="Y26" i="3"/>
  <c r="AD31" i="3"/>
  <c r="U22" i="3"/>
  <c r="AB29" i="3"/>
  <c r="W24" i="3"/>
  <c r="X25" i="3"/>
  <c r="V23" i="3"/>
  <c r="AC29" i="3" l="1"/>
  <c r="Y25" i="3"/>
  <c r="AE31" i="3"/>
  <c r="V22" i="3"/>
  <c r="Z26" i="3"/>
  <c r="AB28" i="3"/>
  <c r="AD30" i="3"/>
  <c r="AA27" i="3"/>
  <c r="AI32" i="3"/>
  <c r="X24" i="3"/>
  <c r="Z25" i="3"/>
  <c r="W23" i="3"/>
  <c r="AJ32" i="3" l="1"/>
  <c r="AE30" i="3"/>
  <c r="AA25" i="3"/>
  <c r="AB27" i="3"/>
  <c r="AC28" i="3"/>
  <c r="AA26" i="3"/>
  <c r="W22" i="3"/>
  <c r="AF31" i="3"/>
  <c r="AD29" i="3"/>
  <c r="Y24" i="3"/>
  <c r="X23" i="3"/>
  <c r="AB26" i="3" l="1"/>
  <c r="AD28" i="3"/>
  <c r="AE29" i="3"/>
  <c r="X22" i="3"/>
  <c r="AC27" i="3"/>
  <c r="AG31" i="3"/>
  <c r="AB25" i="3"/>
  <c r="AF30" i="3"/>
  <c r="AK32" i="3"/>
  <c r="Z24" i="3"/>
  <c r="Y23" i="3"/>
  <c r="Y22" i="3" l="1"/>
  <c r="AC25" i="3"/>
  <c r="AD27" i="3"/>
  <c r="AG30" i="3"/>
  <c r="AF29" i="3"/>
  <c r="AH31" i="3"/>
  <c r="AE28" i="3"/>
  <c r="AA24" i="3"/>
  <c r="AL32" i="3"/>
  <c r="AC26" i="3"/>
  <c r="Z22" i="3"/>
  <c r="Z23" i="3"/>
  <c r="AM32" i="3" l="1"/>
  <c r="AA22" i="3"/>
  <c r="AD26" i="3"/>
  <c r="AB24" i="3"/>
  <c r="AA23" i="3"/>
  <c r="AF28" i="3"/>
  <c r="AH30" i="3"/>
  <c r="AG29" i="3"/>
  <c r="AI31" i="3"/>
  <c r="AE27" i="3"/>
  <c r="AD25" i="3"/>
  <c r="AJ31" i="3"/>
  <c r="AH29" i="3" l="1"/>
  <c r="AI30" i="3"/>
  <c r="AG28" i="3"/>
  <c r="AC24" i="3"/>
  <c r="AE26" i="3"/>
  <c r="AE25" i="3"/>
  <c r="AB22" i="3"/>
  <c r="AF27" i="3"/>
  <c r="AB23" i="3"/>
  <c r="AN32" i="3"/>
  <c r="AK31" i="3"/>
  <c r="AC22" i="3" l="1"/>
  <c r="AF25" i="3"/>
  <c r="AG27" i="3"/>
  <c r="AF26" i="3"/>
  <c r="AD24" i="3"/>
  <c r="AH28" i="3"/>
  <c r="AJ30" i="3"/>
  <c r="AO32" i="3"/>
  <c r="AI29" i="3"/>
  <c r="AC23" i="3"/>
  <c r="AL31" i="3"/>
  <c r="AI28" i="3" l="1"/>
  <c r="AE24" i="3"/>
  <c r="AP32" i="3"/>
  <c r="AK30" i="3"/>
  <c r="AG26" i="3"/>
  <c r="AH27" i="3"/>
  <c r="AG25" i="3"/>
  <c r="AD23" i="3"/>
  <c r="AJ29" i="3"/>
  <c r="AD22" i="3"/>
  <c r="AM31" i="3"/>
  <c r="AH25" i="3" l="1"/>
  <c r="AI27" i="3"/>
  <c r="AE23" i="3"/>
  <c r="AH26" i="3"/>
  <c r="AL30" i="3"/>
  <c r="AQ32" i="3"/>
  <c r="AE22" i="3"/>
  <c r="AF24" i="3"/>
  <c r="AK29" i="3"/>
  <c r="AJ28" i="3"/>
  <c r="AN31" i="3"/>
  <c r="AG24" i="3" l="1"/>
  <c r="AR32" i="3"/>
  <c r="AI26" i="3"/>
  <c r="AF22" i="3"/>
  <c r="AM30" i="3"/>
  <c r="AF23" i="3"/>
  <c r="AK28" i="3"/>
  <c r="AJ27" i="3"/>
  <c r="AL29" i="3"/>
  <c r="AI25" i="3"/>
  <c r="AO31" i="3"/>
  <c r="AK27" i="3" l="1"/>
  <c r="AG22" i="3"/>
  <c r="AJ26" i="3"/>
  <c r="AJ25" i="3"/>
  <c r="AS32" i="3"/>
  <c r="AM29" i="3"/>
  <c r="AH24" i="3"/>
  <c r="AL28" i="3"/>
  <c r="AG23" i="3"/>
  <c r="AN30" i="3"/>
  <c r="AP31" i="3"/>
  <c r="AN29" i="3" l="1"/>
  <c r="AM28" i="3"/>
  <c r="AI24" i="3"/>
  <c r="AT32" i="3"/>
  <c r="AK26" i="3"/>
  <c r="AO30" i="3"/>
  <c r="AL27" i="3"/>
  <c r="AK25" i="3"/>
  <c r="AH22" i="3"/>
  <c r="AH23" i="3"/>
  <c r="AQ31" i="3"/>
  <c r="AL26" i="3" l="1"/>
  <c r="AU32" i="3"/>
  <c r="AV32" i="3" s="1"/>
  <c r="AW32" i="3" s="1"/>
  <c r="AX32" i="3" s="1"/>
  <c r="AY32" i="3" s="1"/>
  <c r="AZ32" i="3" s="1"/>
  <c r="BA32" i="3" s="1"/>
  <c r="BB32" i="3" s="1"/>
  <c r="AJ24" i="3"/>
  <c r="AL25" i="3"/>
  <c r="AM27" i="3"/>
  <c r="AP30" i="3"/>
  <c r="AI23" i="3"/>
  <c r="AN28" i="3"/>
  <c r="AI22" i="3"/>
  <c r="AO29" i="3"/>
  <c r="AR31" i="3"/>
  <c r="AO28" i="3" l="1"/>
  <c r="AJ23" i="3"/>
  <c r="AQ30" i="3"/>
  <c r="AN27" i="3"/>
  <c r="AM25" i="3"/>
  <c r="AK24" i="3"/>
  <c r="AP29" i="3"/>
  <c r="AJ22" i="3"/>
  <c r="AM26" i="3"/>
  <c r="AS31" i="3"/>
  <c r="AK22" i="3" l="1"/>
  <c r="AL24" i="3"/>
  <c r="AN25" i="3"/>
  <c r="AO27" i="3"/>
  <c r="AQ29" i="3"/>
  <c r="AR30" i="3"/>
  <c r="AK23" i="3"/>
  <c r="AN26" i="3"/>
  <c r="AP28" i="3"/>
  <c r="AT31" i="3"/>
  <c r="AL23" i="3" l="1"/>
  <c r="AS30" i="3"/>
  <c r="AO26" i="3"/>
  <c r="AR29" i="3"/>
  <c r="AP27" i="3"/>
  <c r="AO25" i="3"/>
  <c r="AM24" i="3"/>
  <c r="AQ28" i="3"/>
  <c r="AL22" i="3"/>
  <c r="AU31" i="3"/>
  <c r="AV31" i="3" s="1"/>
  <c r="AW31" i="3" s="1"/>
  <c r="AX31" i="3" s="1"/>
  <c r="AY31" i="3" s="1"/>
  <c r="AZ31" i="3" s="1"/>
  <c r="BA31" i="3" s="1"/>
  <c r="BB31" i="3" s="1"/>
  <c r="AP25" i="3" l="1"/>
  <c r="AQ27" i="3"/>
  <c r="AP26" i="3"/>
  <c r="AM22" i="3"/>
  <c r="AR28" i="3"/>
  <c r="AN24" i="3"/>
  <c r="AS29" i="3"/>
  <c r="AT30" i="3"/>
  <c r="AM23" i="3"/>
  <c r="AU30" i="3" l="1"/>
  <c r="AV30" i="3" s="1"/>
  <c r="AW30" i="3" s="1"/>
  <c r="AX30" i="3" s="1"/>
  <c r="AY30" i="3" s="1"/>
  <c r="AZ30" i="3" s="1"/>
  <c r="BA30" i="3" s="1"/>
  <c r="BB30" i="3" s="1"/>
  <c r="AT29" i="3"/>
  <c r="AO24" i="3"/>
  <c r="AS28" i="3"/>
  <c r="AN22" i="3"/>
  <c r="AQ26" i="3"/>
  <c r="AR27" i="3"/>
  <c r="AN23" i="3"/>
  <c r="AQ25" i="3"/>
  <c r="AS27" i="3" l="1"/>
  <c r="AR26" i="3"/>
  <c r="AO22" i="3"/>
  <c r="AT28" i="3"/>
  <c r="AP24" i="3"/>
  <c r="AR25" i="3"/>
  <c r="AU29" i="3"/>
  <c r="AV29" i="3" s="1"/>
  <c r="AW29" i="3" s="1"/>
  <c r="AX29" i="3" s="1"/>
  <c r="AY29" i="3" s="1"/>
  <c r="AZ29" i="3" s="1"/>
  <c r="BA29" i="3" s="1"/>
  <c r="BB29" i="3" s="1"/>
  <c r="BF29" i="3" s="1"/>
  <c r="B147" i="3" s="1"/>
  <c r="D147" i="3" s="1"/>
  <c r="AO23" i="3"/>
  <c r="AS25" i="3" l="1"/>
  <c r="AQ24" i="3"/>
  <c r="AU28" i="3"/>
  <c r="AV28" i="3" s="1"/>
  <c r="AW28" i="3" s="1"/>
  <c r="AX28" i="3" s="1"/>
  <c r="AY28" i="3" s="1"/>
  <c r="AZ28" i="3" s="1"/>
  <c r="BA28" i="3" s="1"/>
  <c r="BB28" i="3" s="1"/>
  <c r="AS26" i="3"/>
  <c r="AP22" i="3"/>
  <c r="AT27" i="3"/>
  <c r="AP23" i="3"/>
  <c r="T21" i="3"/>
  <c r="U21" i="3" l="1"/>
  <c r="AQ23" i="3"/>
  <c r="AU27" i="3"/>
  <c r="AV27" i="3" s="1"/>
  <c r="AW27" i="3" s="1"/>
  <c r="AX27" i="3" s="1"/>
  <c r="AY27" i="3" s="1"/>
  <c r="AZ27" i="3" s="1"/>
  <c r="BA27" i="3" s="1"/>
  <c r="BB27" i="3" s="1"/>
  <c r="AQ22" i="3"/>
  <c r="AT26" i="3"/>
  <c r="AR24" i="3"/>
  <c r="AT25" i="3"/>
  <c r="AU25" i="3" s="1"/>
  <c r="V21" i="3"/>
  <c r="U110" i="3"/>
  <c r="AR22" i="3" l="1"/>
  <c r="AV25" i="3"/>
  <c r="AW25" i="3" s="1"/>
  <c r="AX25" i="3" s="1"/>
  <c r="AY25" i="3" s="1"/>
  <c r="AZ25" i="3" s="1"/>
  <c r="BA25" i="3" s="1"/>
  <c r="BB25" i="3" s="1"/>
  <c r="AS24" i="3"/>
  <c r="AU26" i="3"/>
  <c r="AV26" i="3" s="1"/>
  <c r="AW26" i="3" s="1"/>
  <c r="AX26" i="3" s="1"/>
  <c r="AY26" i="3" s="1"/>
  <c r="AZ26" i="3" s="1"/>
  <c r="BA26" i="3" s="1"/>
  <c r="BB26" i="3" s="1"/>
  <c r="AR23" i="3"/>
  <c r="V110" i="3"/>
  <c r="W21" i="3"/>
  <c r="BF25" i="3" l="1"/>
  <c r="B148" i="3" s="1"/>
  <c r="D148" i="3" s="1"/>
  <c r="AT24" i="3"/>
  <c r="AS22" i="3"/>
  <c r="AS23" i="3"/>
  <c r="W110" i="3"/>
  <c r="X21" i="3"/>
  <c r="AT23" i="3" l="1"/>
  <c r="AT22" i="3"/>
  <c r="AU24" i="3"/>
  <c r="AV24" i="3" s="1"/>
  <c r="AW24" i="3" s="1"/>
  <c r="AX24" i="3" s="1"/>
  <c r="AY24" i="3" s="1"/>
  <c r="AZ24" i="3" s="1"/>
  <c r="BA24" i="3" s="1"/>
  <c r="BB24" i="3" s="1"/>
  <c r="Y21" i="3"/>
  <c r="X110" i="3"/>
  <c r="AU22" i="3" l="1"/>
  <c r="AV22" i="3" s="1"/>
  <c r="AW22" i="3" s="1"/>
  <c r="AX22" i="3" s="1"/>
  <c r="AY22" i="3" s="1"/>
  <c r="AZ22" i="3" s="1"/>
  <c r="BA22" i="3" s="1"/>
  <c r="BB22" i="3" s="1"/>
  <c r="AU23" i="3"/>
  <c r="AV23" i="3" s="1"/>
  <c r="AW23" i="3" s="1"/>
  <c r="AX23" i="3" s="1"/>
  <c r="AY23" i="3" s="1"/>
  <c r="AZ23" i="3" s="1"/>
  <c r="BA23" i="3" s="1"/>
  <c r="BB23" i="3" s="1"/>
  <c r="Y110" i="3"/>
  <c r="Z21" i="3"/>
  <c r="AA21" i="3" l="1"/>
  <c r="Z110" i="3"/>
  <c r="AB21" i="3" l="1"/>
  <c r="AA110" i="3"/>
  <c r="AC21" i="3" l="1"/>
  <c r="AB110" i="3"/>
  <c r="AD21" i="3" l="1"/>
  <c r="AC110" i="3"/>
  <c r="AE21" i="3" l="1"/>
  <c r="AD110" i="3"/>
  <c r="AE110" i="3" l="1"/>
  <c r="AF21" i="3"/>
  <c r="AF110" i="3" l="1"/>
  <c r="AG21" i="3"/>
  <c r="AG110" i="3" l="1"/>
  <c r="AH21" i="3"/>
  <c r="AH110" i="3" l="1"/>
  <c r="AI21" i="3"/>
  <c r="AI110" i="3" l="1"/>
  <c r="AJ21" i="3"/>
  <c r="AJ110" i="3" l="1"/>
  <c r="AK21" i="3"/>
  <c r="AK110" i="3" l="1"/>
  <c r="AL21" i="3"/>
  <c r="AL110" i="3" l="1"/>
  <c r="AM21" i="3"/>
  <c r="AM110" i="3" l="1"/>
  <c r="AN21" i="3"/>
  <c r="AN110" i="3" l="1"/>
  <c r="AO21" i="3"/>
  <c r="AO110" i="3" l="1"/>
  <c r="AP21" i="3"/>
  <c r="AP110" i="3" l="1"/>
  <c r="AQ21" i="3"/>
  <c r="AR21" i="3" l="1"/>
  <c r="AR110" i="3" l="1"/>
  <c r="AS21" i="3"/>
  <c r="AS110" i="3" l="1"/>
  <c r="AT21" i="3"/>
  <c r="AT110" i="3" l="1"/>
  <c r="AU21" i="3"/>
  <c r="AV21" i="3" s="1"/>
  <c r="AW21" i="3" s="1"/>
  <c r="AX21" i="3" s="1"/>
  <c r="AY21" i="3" s="1"/>
  <c r="AZ21" i="3" s="1"/>
  <c r="BA21" i="3" s="1"/>
  <c r="BB21" i="3" s="1"/>
  <c r="BF21" i="3" s="1"/>
  <c r="B149" i="3" s="1"/>
  <c r="D149" i="3" s="1"/>
  <c r="D59" i="3"/>
  <c r="D110" i="3" s="1"/>
  <c r="AU110" i="3" l="1"/>
  <c r="AV110" i="3" l="1"/>
  <c r="AW110" i="3" s="1"/>
  <c r="AX110" i="3" s="1"/>
  <c r="AY110" i="3" s="1"/>
  <c r="AZ110" i="3" s="1"/>
  <c r="BA110" i="3" s="1"/>
  <c r="BB110" i="3" s="1"/>
  <c r="E59" i="3"/>
  <c r="E110" i="3" s="1"/>
  <c r="F59" i="3" l="1"/>
  <c r="F110" i="3" s="1"/>
  <c r="G59" i="3" l="1"/>
  <c r="G110" i="3" s="1"/>
  <c r="H59" i="3" l="1"/>
  <c r="H110" i="3" s="1"/>
  <c r="I59" i="3" l="1"/>
  <c r="I110" i="3" s="1"/>
  <c r="J59" i="3" l="1"/>
  <c r="J110" i="3" s="1"/>
  <c r="K59" i="3" l="1"/>
  <c r="K110" i="3" s="1"/>
  <c r="L59" i="3" l="1"/>
  <c r="L110" i="3" s="1"/>
  <c r="M59" i="3" l="1"/>
  <c r="M110" i="3" s="1"/>
  <c r="N59" i="3" l="1"/>
  <c r="N110" i="3" s="1"/>
  <c r="O59" i="3" l="1"/>
  <c r="O110" i="3" s="1"/>
  <c r="P59" i="3" l="1"/>
  <c r="P110" i="3" s="1"/>
  <c r="Q59" i="3" l="1"/>
  <c r="Q110" i="3" s="1"/>
  <c r="R59" i="3" l="1"/>
  <c r="R110" i="3" s="1"/>
  <c r="S59" i="3" l="1"/>
  <c r="S110" i="3" s="1"/>
  <c r="T59" i="3"/>
  <c r="T110" i="3" s="1"/>
  <c r="C115" i="3" l="1"/>
  <c r="B134" i="3"/>
</calcChain>
</file>

<file path=xl/sharedStrings.xml><?xml version="1.0" encoding="utf-8"?>
<sst xmlns="http://schemas.openxmlformats.org/spreadsheetml/2006/main" count="69" uniqueCount="49">
  <si>
    <t>Week №</t>
  </si>
  <si>
    <t>Active Users</t>
  </si>
  <si>
    <t>Installs</t>
  </si>
  <si>
    <t>Users Retention Rate</t>
  </si>
  <si>
    <t>Weeks Since Install</t>
  </si>
  <si>
    <t>Week of installs, №</t>
  </si>
  <si>
    <t>Number of installs</t>
  </si>
  <si>
    <t>Emails sent</t>
  </si>
  <si>
    <t>Emails sent:</t>
  </si>
  <si>
    <t>Emails clicks</t>
  </si>
  <si>
    <t>Average emails per user</t>
  </si>
  <si>
    <t>Average per week</t>
  </si>
  <si>
    <t>Усередньому одному користувачу надіслано</t>
  </si>
  <si>
    <t>за 3 місяці з моменту встановлення додатку:</t>
  </si>
  <si>
    <t>за 6 місяців з моменту встановлення додатку:</t>
  </si>
  <si>
    <t>за 1 рік з моменту встановлення додатку:</t>
  </si>
  <si>
    <t>Середня кількість емейлів одному юзеру потижнево</t>
  </si>
  <si>
    <t>ЗАВДАННЯ 1</t>
  </si>
  <si>
    <t>ЗАВДАННЯ 3</t>
  </si>
  <si>
    <t>ЗАВДАННЯ 2</t>
  </si>
  <si>
    <t>Утримання користувача за 
домогою email розсилки 
впродовж одного року,
(враховуючи вартість 0,1 долар
за відправку листа):</t>
  </si>
  <si>
    <t>ЗАВДАННЯ 4</t>
  </si>
  <si>
    <t>з 17 по 20 тиждень:</t>
  </si>
  <si>
    <t>з 21 по 24 тиждень:</t>
  </si>
  <si>
    <t>з 25 по 28 тиждень:</t>
  </si>
  <si>
    <t>- середнє для 13 тижнів</t>
  </si>
  <si>
    <t>- середнє для 26 тижнів</t>
  </si>
  <si>
    <t>- середнє для (44 існуючих тижнів + 8 спрогнозованих тижнів)</t>
  </si>
  <si>
    <t>Середній час "життя" одиного 
користувача в додатку (у тижнях):</t>
  </si>
  <si>
    <t>Оскільки для кожної когорти 17-20, 21-24, 25-28 не вистачає 24, 28, 32 тижні відповідно для отримання повноцінних річних значень - спрогнозуємо ці значення на основі існуючих даних</t>
  </si>
  <si>
    <t>17-20 когорта</t>
  </si>
  <si>
    <t>21-24 когорта</t>
  </si>
  <si>
    <t>25-28 когорта</t>
  </si>
  <si>
    <t>Сумарна кількість кліків</t>
  </si>
  <si>
    <t>Коефіцієнт зміни (середній показник кількості кліків у порівнянні з попереднім тижнем)</t>
  </si>
  <si>
    <t>1. Знайдемо середній коефіцієнт зміни за останні 4 доступні тижні для кожної когорти (для цього ділимо значення кожного тижня на попередній). 
Послідовно множимо останнє фактичне значення на цей коефіцієнт для кожного наступного тижня, якого бракує до повного року (52 тижні). Це буде прогноз листів</t>
  </si>
  <si>
    <t>2. Зробимо те саме для кліків: розрахуємо їхній власний середній коефіцієнт спадання за останні 4 тижні та так само послідовно спрогнозуємо значення до 52-го тижня. Це буде прогноз кліків.</t>
  </si>
  <si>
    <t>Сумарна кількість листів</t>
  </si>
  <si>
    <t>Сумарна к-сть листів</t>
  </si>
  <si>
    <t>Сумарна к-сть кліків</t>
  </si>
  <si>
    <t xml:space="preserve">Середній CTR впродовж року </t>
  </si>
  <si>
    <t>Когорти (реєстрація)</t>
  </si>
  <si>
    <t>Average retention per week</t>
  </si>
  <si>
    <t>- взяв останні 10 тижнів, де +-стабілізувалася середня кількість надісланих емейлів одному користувачу потижнево</t>
  </si>
  <si>
    <t>взяв по 4 останні тижні для обчислення коєфіцієнту зміни, щоб дані були достатньо свіжими і водночас стабільними</t>
  </si>
  <si>
    <t>Когорта</t>
  </si>
  <si>
    <t>Коефіцієнт зміни (середній відсотковий показник кількості листів у порівнянні з попереднім тижнем)</t>
  </si>
  <si>
    <t>Коефіцієнт зміни</t>
  </si>
  <si>
    <t>*коефіцієнт взято на основі останніх 4 тижнів для оптимального балансу між актуальністю та стабільністю даних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</si>
</sst>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m/d/yyyy\ h:mm:ss"/>
    <numFmt numFmtId="165" formatCode="0.0"/>
    <numFmt numFmtId="166" formatCode="_-* #,##0_-;\-* #,##0_-;_-* &quot;-&quot;??_-;_-@_-"/>
    <numFmt numFmtId="167" formatCode="_-[$$-409]* #,##0.0_ ;_-[$$-409]* \-#,##0.0\ ;_-[$$-409]* &quot;-&quot;??_ ;_-@_ "/>
    <numFmt numFmtId="168" formatCode="0.000%"/>
  </numFmts>
  <fonts count="8" x14ac:knownFonts="1">
    <font>
      <sz val="10"/>
      <color rgb="FF000000"/>
      <name val="Arial"/>
    </font>
    <font>
      <b/>
      <sz val="10"/>
      <name val="Arial"/>
      <family val="2"/>
      <charset val="204"/>
    </font>
    <font>
      <sz val="10"/>
      <name val="Arial"/>
      <family val="2"/>
      <charset val="204"/>
    </font>
    <font>
      <b/>
      <sz val="18"/>
      <name val="Arial"/>
      <family val="2"/>
      <charset val="204"/>
    </font>
    <font>
      <sz val="10"/>
      <color rgb="FF000000"/>
      <name val="Arial"/>
      <family val="2"/>
      <charset val="204"/>
    </font>
    <font>
      <b/>
      <sz val="18"/>
      <color rgb="FF000000"/>
      <name val="Arial"/>
      <family val="2"/>
      <charset val="204"/>
    </font>
    <font>
      <sz val="10"/>
      <color rgb="FF000000"/>
      <name val="Arial"/>
      <family val="2"/>
      <charset val="204"/>
    </font>
    <font>
      <b/>
      <sz val="18"/>
      <name val="Arial"/>
      <family val="2"/>
      <charset val="204"/>
    </font>
  </fonts>
  <fills count="9">
    <fill>
      <patternFill patternType="none"/>
    </fill>
    <fill>
      <patternFill patternType="gray125"/>
    </fill>
    <fill>
      <patternFill patternType="solid">
        <fgColor rgb="FFC9DAF8"/>
        <bgColor rgb="FFC9DAF8"/>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00B0F0"/>
        <bgColor rgb="FFC9DAF8"/>
      </patternFill>
    </fill>
  </fills>
  <borders count="29">
    <border>
      <left/>
      <right/>
      <top/>
      <bottom/>
      <diagonal/>
    </border>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32">
    <xf numFmtId="0" fontId="0" fillId="0" borderId="0" xfId="0" applyFont="1" applyAlignment="1"/>
    <xf numFmtId="0" fontId="1" fillId="0" borderId="0" xfId="0"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3" fillId="0" borderId="0" xfId="0" applyFont="1" applyAlignment="1">
      <alignment horizontal="left"/>
    </xf>
    <xf numFmtId="0" fontId="0" fillId="0" borderId="0" xfId="0" applyFont="1" applyAlignment="1"/>
    <xf numFmtId="0" fontId="2" fillId="2" borderId="1" xfId="0" applyFont="1" applyFill="1" applyBorder="1" applyAlignment="1">
      <alignment horizontal="center"/>
    </xf>
    <xf numFmtId="0" fontId="2" fillId="2" borderId="1" xfId="0" applyFont="1" applyFill="1" applyBorder="1" applyAlignment="1"/>
    <xf numFmtId="14" fontId="2" fillId="0" borderId="0" xfId="0" applyNumberFormat="1" applyFont="1" applyAlignment="1">
      <alignment horizontal="center"/>
    </xf>
    <xf numFmtId="10" fontId="2" fillId="0" borderId="0" xfId="0" applyNumberFormat="1" applyFont="1" applyAlignment="1"/>
    <xf numFmtId="9" fontId="2" fillId="0" borderId="0" xfId="0" applyNumberFormat="1" applyFont="1" applyAlignment="1"/>
    <xf numFmtId="10" fontId="2" fillId="0" borderId="0" xfId="0" applyNumberFormat="1" applyFont="1" applyAlignment="1"/>
    <xf numFmtId="0" fontId="3" fillId="0" borderId="0" xfId="0" applyFont="1" applyAlignment="1">
      <alignment horizontal="left"/>
    </xf>
    <xf numFmtId="0" fontId="0" fillId="0" borderId="0" xfId="0" applyFont="1" applyAlignment="1"/>
    <xf numFmtId="3" fontId="2" fillId="0" borderId="0" xfId="0" applyNumberFormat="1" applyFont="1" applyAlignment="1">
      <alignment horizontal="center"/>
    </xf>
    <xf numFmtId="0" fontId="2" fillId="0" borderId="0" xfId="0" applyFont="1" applyAlignment="1">
      <alignment horizontal="center"/>
    </xf>
    <xf numFmtId="3" fontId="2" fillId="0" borderId="0" xfId="0" applyNumberFormat="1" applyFont="1" applyAlignment="1">
      <alignment horizontal="center"/>
    </xf>
    <xf numFmtId="0" fontId="2" fillId="0" borderId="0" xfId="0" applyFont="1" applyAlignment="1">
      <alignment horizontal="center"/>
    </xf>
    <xf numFmtId="0" fontId="0" fillId="0" borderId="0" xfId="0" applyFont="1" applyAlignment="1"/>
    <xf numFmtId="166" fontId="2" fillId="0" borderId="0" xfId="1" applyNumberFormat="1" applyFont="1" applyAlignment="1">
      <alignment horizontal="center"/>
    </xf>
    <xf numFmtId="0" fontId="0" fillId="0" borderId="3" xfId="0" applyFont="1" applyBorder="1" applyAlignment="1"/>
    <xf numFmtId="0" fontId="0" fillId="0" borderId="4" xfId="0" applyFont="1" applyBorder="1" applyAlignment="1"/>
    <xf numFmtId="0" fontId="6" fillId="0" borderId="1" xfId="0" quotePrefix="1" applyFont="1" applyBorder="1" applyAlignment="1"/>
    <xf numFmtId="0" fontId="0" fillId="0" borderId="1" xfId="0" applyFont="1" applyBorder="1" applyAlignment="1"/>
    <xf numFmtId="0" fontId="0" fillId="0" borderId="6" xfId="0" applyFont="1" applyBorder="1" applyAlignment="1"/>
    <xf numFmtId="0" fontId="0" fillId="0" borderId="8" xfId="0" applyFont="1" applyBorder="1" applyAlignment="1"/>
    <xf numFmtId="0" fontId="0" fillId="0" borderId="9" xfId="0" applyFont="1" applyBorder="1" applyAlignment="1"/>
    <xf numFmtId="0" fontId="5" fillId="0" borderId="2" xfId="0" applyFont="1" applyBorder="1" applyAlignment="1"/>
    <xf numFmtId="0" fontId="0" fillId="0" borderId="5" xfId="0" applyFont="1" applyBorder="1" applyAlignment="1"/>
    <xf numFmtId="0" fontId="6" fillId="0" borderId="5" xfId="0" applyFont="1" applyBorder="1" applyAlignment="1">
      <alignment wrapText="1"/>
    </xf>
    <xf numFmtId="0" fontId="6" fillId="0" borderId="5" xfId="0" applyFont="1" applyBorder="1" applyAlignment="1"/>
    <xf numFmtId="0" fontId="6" fillId="0" borderId="7" xfId="0" applyFont="1" applyBorder="1" applyAlignment="1"/>
    <xf numFmtId="0" fontId="2" fillId="2" borderId="5" xfId="0" applyFont="1" applyFill="1" applyBorder="1" applyAlignment="1">
      <alignment horizontal="center"/>
    </xf>
    <xf numFmtId="0" fontId="2" fillId="2" borderId="6" xfId="0" applyFont="1" applyFill="1" applyBorder="1" applyAlignment="1"/>
    <xf numFmtId="14" fontId="2" fillId="0" borderId="5" xfId="0" applyNumberFormat="1" applyFont="1" applyBorder="1" applyAlignment="1">
      <alignment horizontal="center"/>
    </xf>
    <xf numFmtId="0" fontId="2" fillId="0" borderId="1" xfId="0" applyFont="1" applyBorder="1" applyAlignment="1">
      <alignment horizontal="center"/>
    </xf>
    <xf numFmtId="0" fontId="2" fillId="0" borderId="5" xfId="0" applyFont="1" applyBorder="1" applyAlignment="1">
      <alignment horizontal="center"/>
    </xf>
    <xf numFmtId="10" fontId="2" fillId="0" borderId="1" xfId="0" applyNumberFormat="1" applyFont="1" applyBorder="1" applyAlignment="1"/>
    <xf numFmtId="0" fontId="0" fillId="0" borderId="7" xfId="0" applyFont="1" applyBorder="1" applyAlignment="1"/>
    <xf numFmtId="0" fontId="7" fillId="0" borderId="5" xfId="0" applyFont="1" applyBorder="1" applyAlignment="1">
      <alignment horizontal="left"/>
    </xf>
    <xf numFmtId="0" fontId="2" fillId="0" borderId="1" xfId="0" applyFont="1" applyBorder="1" applyAlignment="1"/>
    <xf numFmtId="165" fontId="0" fillId="0" borderId="1" xfId="0" applyNumberFormat="1" applyFont="1" applyBorder="1" applyAlignment="1"/>
    <xf numFmtId="1" fontId="0" fillId="3" borderId="1" xfId="0" applyNumberFormat="1" applyFont="1" applyFill="1" applyBorder="1" applyAlignment="1">
      <alignment horizontal="center"/>
    </xf>
    <xf numFmtId="0" fontId="4" fillId="0" borderId="0" xfId="0" applyFont="1" applyAlignment="1"/>
    <xf numFmtId="0" fontId="4" fillId="0" borderId="1" xfId="0" applyFont="1" applyBorder="1" applyAlignment="1"/>
    <xf numFmtId="0" fontId="6" fillId="0" borderId="1" xfId="0" applyFont="1" applyBorder="1" applyAlignment="1"/>
    <xf numFmtId="3" fontId="0" fillId="0" borderId="1" xfId="0" applyNumberFormat="1" applyFont="1" applyBorder="1" applyAlignment="1"/>
    <xf numFmtId="3" fontId="4" fillId="0" borderId="1" xfId="0" applyNumberFormat="1" applyFont="1" applyBorder="1" applyAlignment="1"/>
    <xf numFmtId="0" fontId="4" fillId="0" borderId="1" xfId="0" applyFont="1" applyBorder="1" applyAlignment="1">
      <alignment wrapText="1"/>
    </xf>
    <xf numFmtId="0" fontId="4" fillId="0" borderId="12" xfId="0" applyFont="1" applyBorder="1" applyAlignment="1"/>
    <xf numFmtId="166" fontId="0" fillId="6" borderId="0" xfId="1" applyNumberFormat="1" applyFont="1" applyFill="1" applyAlignment="1"/>
    <xf numFmtId="166" fontId="0" fillId="0" borderId="0" xfId="1" applyNumberFormat="1" applyFont="1" applyFill="1" applyAlignment="1"/>
    <xf numFmtId="166" fontId="0" fillId="5" borderId="0" xfId="1" applyNumberFormat="1" applyFont="1" applyFill="1" applyAlignment="1"/>
    <xf numFmtId="166" fontId="0" fillId="4" borderId="0" xfId="1" applyNumberFormat="1" applyFont="1" applyFill="1" applyAlignment="1"/>
    <xf numFmtId="2" fontId="0" fillId="0" borderId="0" xfId="0" applyNumberFormat="1" applyFont="1" applyAlignment="1"/>
    <xf numFmtId="0" fontId="0" fillId="0" borderId="0" xfId="0" applyFont="1" applyFill="1" applyAlignment="1"/>
    <xf numFmtId="0" fontId="2" fillId="8" borderId="1" xfId="0" applyFont="1" applyFill="1" applyBorder="1" applyAlignment="1"/>
    <xf numFmtId="10" fontId="0" fillId="7" borderId="13" xfId="2" applyNumberFormat="1" applyFont="1" applyFill="1" applyBorder="1" applyAlignment="1"/>
    <xf numFmtId="168" fontId="0" fillId="7" borderId="13" xfId="2" applyNumberFormat="1" applyFont="1" applyFill="1" applyBorder="1" applyAlignment="1"/>
    <xf numFmtId="0" fontId="0" fillId="0" borderId="1" xfId="0" applyFont="1" applyBorder="1" applyAlignment="1">
      <alignment horizontal="center"/>
    </xf>
    <xf numFmtId="168" fontId="0" fillId="7" borderId="16" xfId="2" applyNumberFormat="1" applyFont="1" applyFill="1" applyBorder="1" applyAlignment="1"/>
    <xf numFmtId="0" fontId="3" fillId="0" borderId="5" xfId="0" applyFont="1" applyBorder="1" applyAlignment="1">
      <alignment horizontal="left"/>
    </xf>
    <xf numFmtId="10" fontId="0" fillId="0" borderId="1" xfId="2" applyNumberFormat="1" applyFont="1" applyFill="1" applyBorder="1" applyAlignment="1">
      <alignment horizontal="center"/>
    </xf>
    <xf numFmtId="0" fontId="4" fillId="0" borderId="5" xfId="0" applyFont="1" applyBorder="1" applyAlignment="1"/>
    <xf numFmtId="166" fontId="0" fillId="0" borderId="1" xfId="1" applyNumberFormat="1" applyFont="1" applyBorder="1" applyAlignment="1"/>
    <xf numFmtId="166" fontId="0" fillId="0" borderId="1" xfId="0" applyNumberFormat="1" applyFont="1" applyBorder="1" applyAlignment="1"/>
    <xf numFmtId="10" fontId="0" fillId="0" borderId="8" xfId="2" applyNumberFormat="1" applyFont="1" applyFill="1" applyBorder="1" applyAlignment="1">
      <alignment horizontal="center"/>
    </xf>
    <xf numFmtId="0" fontId="4" fillId="0" borderId="17" xfId="0" applyFont="1" applyBorder="1" applyAlignment="1"/>
    <xf numFmtId="0" fontId="4" fillId="0" borderId="18" xfId="0" applyFont="1" applyBorder="1" applyAlignment="1">
      <alignment wrapText="1"/>
    </xf>
    <xf numFmtId="0" fontId="4" fillId="0" borderId="19" xfId="0" applyFont="1" applyBorder="1" applyAlignment="1">
      <alignment horizontal="left" wrapText="1"/>
    </xf>
    <xf numFmtId="0" fontId="6" fillId="0" borderId="15" xfId="0" applyFont="1" applyBorder="1" applyAlignment="1"/>
    <xf numFmtId="10" fontId="0" fillId="0" borderId="14" xfId="2" applyNumberFormat="1" applyFont="1" applyBorder="1" applyAlignment="1"/>
    <xf numFmtId="0" fontId="6" fillId="0" borderId="20" xfId="0" applyFont="1" applyBorder="1" applyAlignment="1"/>
    <xf numFmtId="3" fontId="0" fillId="0" borderId="21" xfId="0" applyNumberFormat="1" applyFont="1" applyBorder="1" applyAlignment="1"/>
    <xf numFmtId="10" fontId="0" fillId="0" borderId="22" xfId="2" applyNumberFormat="1" applyFont="1" applyBorder="1" applyAlignment="1"/>
    <xf numFmtId="0" fontId="0" fillId="0" borderId="18" xfId="0" applyFont="1" applyBorder="1" applyAlignment="1"/>
    <xf numFmtId="0" fontId="0" fillId="0" borderId="19" xfId="0" applyFont="1" applyBorder="1" applyAlignment="1"/>
    <xf numFmtId="14" fontId="2" fillId="0" borderId="15" xfId="0" applyNumberFormat="1" applyFont="1" applyBorder="1" applyAlignment="1">
      <alignment horizontal="center"/>
    </xf>
    <xf numFmtId="0" fontId="0" fillId="0" borderId="14" xfId="0" applyFont="1" applyBorder="1" applyAlignment="1"/>
    <xf numFmtId="0" fontId="2" fillId="0" borderId="15" xfId="0" applyFont="1" applyBorder="1" applyAlignment="1">
      <alignment horizontal="center"/>
    </xf>
    <xf numFmtId="0" fontId="0" fillId="0" borderId="20" xfId="0" applyFont="1" applyBorder="1" applyAlignment="1"/>
    <xf numFmtId="0" fontId="0" fillId="0" borderId="21" xfId="0" applyFont="1" applyBorder="1" applyAlignment="1"/>
    <xf numFmtId="2" fontId="6" fillId="3" borderId="21" xfId="0" applyNumberFormat="1" applyFont="1" applyFill="1" applyBorder="1" applyAlignment="1"/>
    <xf numFmtId="1" fontId="0" fillId="3" borderId="21" xfId="0" applyNumberFormat="1" applyFont="1" applyFill="1" applyBorder="1" applyAlignment="1">
      <alignment horizontal="center"/>
    </xf>
    <xf numFmtId="0" fontId="0" fillId="0" borderId="22" xfId="0" applyFont="1" applyBorder="1" applyAlignment="1"/>
    <xf numFmtId="2" fontId="0" fillId="3" borderId="23" xfId="0" applyNumberFormat="1" applyFont="1" applyFill="1" applyBorder="1" applyAlignment="1">
      <alignment horizontal="center" vertical="center"/>
    </xf>
    <xf numFmtId="10" fontId="0" fillId="3" borderId="1" xfId="0" applyNumberFormat="1" applyFont="1" applyFill="1" applyBorder="1" applyAlignment="1"/>
    <xf numFmtId="10" fontId="0" fillId="3" borderId="6" xfId="0" applyNumberFormat="1" applyFont="1" applyFill="1" applyBorder="1" applyAlignment="1"/>
    <xf numFmtId="0" fontId="6" fillId="0" borderId="24" xfId="0" applyFont="1" applyBorder="1" applyAlignment="1">
      <alignment vertical="center" wrapText="1"/>
    </xf>
    <xf numFmtId="0" fontId="0" fillId="0" borderId="0" xfId="0" quotePrefix="1" applyFont="1" applyAlignment="1"/>
    <xf numFmtId="165" fontId="0" fillId="0" borderId="1" xfId="0" applyNumberFormat="1" applyFont="1" applyFill="1" applyBorder="1" applyAlignment="1"/>
    <xf numFmtId="0" fontId="4" fillId="0" borderId="21" xfId="0" quotePrefix="1" applyFont="1" applyBorder="1" applyAlignment="1"/>
    <xf numFmtId="168" fontId="0" fillId="7" borderId="20" xfId="2" applyNumberFormat="1" applyFont="1" applyFill="1" applyBorder="1" applyAlignment="1"/>
    <xf numFmtId="0" fontId="4" fillId="0" borderId="11" xfId="0" applyFont="1" applyBorder="1" applyAlignment="1"/>
    <xf numFmtId="0" fontId="0" fillId="0" borderId="1" xfId="0" quotePrefix="1" applyFont="1" applyBorder="1" applyAlignment="1"/>
    <xf numFmtId="0" fontId="4" fillId="0" borderId="13" xfId="0" applyFont="1" applyBorder="1" applyAlignment="1"/>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2" borderId="18" xfId="0" applyFont="1" applyFill="1" applyBorder="1" applyAlignment="1"/>
    <xf numFmtId="0" fontId="2" fillId="8" borderId="18" xfId="0" applyFont="1" applyFill="1" applyBorder="1" applyAlignment="1"/>
    <xf numFmtId="2" fontId="4" fillId="3" borderId="21" xfId="0" applyNumberFormat="1" applyFont="1" applyFill="1" applyBorder="1" applyAlignment="1"/>
    <xf numFmtId="1" fontId="0" fillId="3" borderId="18" xfId="0" applyNumberFormat="1" applyFont="1" applyFill="1" applyBorder="1" applyAlignment="1">
      <alignment horizontal="center"/>
    </xf>
    <xf numFmtId="0" fontId="6" fillId="0" borderId="18" xfId="0" quotePrefix="1" applyFont="1" applyBorder="1" applyAlignment="1"/>
    <xf numFmtId="0" fontId="6" fillId="0" borderId="27" xfId="0" applyFont="1" applyBorder="1" applyAlignment="1">
      <alignment wrapText="1"/>
    </xf>
    <xf numFmtId="167" fontId="0" fillId="3" borderId="28" xfId="0" applyNumberFormat="1" applyFont="1" applyFill="1" applyBorder="1" applyAlignment="1">
      <alignment horizontal="center" vertical="center"/>
    </xf>
    <xf numFmtId="0" fontId="0" fillId="0" borderId="5" xfId="0" quotePrefix="1" applyFont="1" applyBorder="1" applyAlignment="1"/>
    <xf numFmtId="10" fontId="0" fillId="0" borderId="0" xfId="0" applyNumberFormat="1" applyFont="1" applyAlignment="1"/>
    <xf numFmtId="165" fontId="0" fillId="0" borderId="0" xfId="0" applyNumberFormat="1" applyFont="1" applyAlignment="1"/>
    <xf numFmtId="0" fontId="4" fillId="0" borderId="5" xfId="0" applyFont="1" applyBorder="1" applyAlignment="1">
      <alignment horizontal="left"/>
    </xf>
    <xf numFmtId="0" fontId="4" fillId="0" borderId="1" xfId="0" applyFont="1" applyBorder="1" applyAlignment="1">
      <alignment horizontal="left"/>
    </xf>
    <xf numFmtId="0" fontId="4" fillId="0" borderId="6" xfId="0" applyFont="1" applyBorder="1" applyAlignment="1">
      <alignment horizontal="left"/>
    </xf>
    <xf numFmtId="0" fontId="4" fillId="0" borderId="5" xfId="0" applyFont="1" applyBorder="1" applyAlignment="1">
      <alignment horizontal="left" wrapText="1"/>
    </xf>
    <xf numFmtId="0" fontId="4" fillId="0" borderId="1" xfId="0" applyFont="1" applyBorder="1" applyAlignment="1">
      <alignment horizontal="left" wrapText="1"/>
    </xf>
    <xf numFmtId="0" fontId="4" fillId="0" borderId="6" xfId="0" applyFont="1" applyBorder="1" applyAlignment="1">
      <alignment horizontal="left" wrapText="1"/>
    </xf>
    <xf numFmtId="166" fontId="4" fillId="0" borderId="13" xfId="1" applyNumberFormat="1" applyFont="1" applyFill="1" applyBorder="1" applyAlignment="1">
      <alignment horizontal="center" vertical="center"/>
    </xf>
    <xf numFmtId="0" fontId="6" fillId="0" borderId="15" xfId="0" applyFont="1" applyBorder="1" applyAlignment="1">
      <alignment horizontal="left"/>
    </xf>
    <xf numFmtId="0" fontId="6" fillId="0" borderId="1" xfId="0" applyFont="1" applyBorder="1" applyAlignment="1">
      <alignment horizontal="left"/>
    </xf>
    <xf numFmtId="0" fontId="6" fillId="0" borderId="20" xfId="0" applyFont="1" applyBorder="1" applyAlignment="1">
      <alignment horizontal="left"/>
    </xf>
    <xf numFmtId="0" fontId="6" fillId="0" borderId="21" xfId="0" applyFont="1" applyBorder="1" applyAlignment="1">
      <alignment horizontal="left"/>
    </xf>
    <xf numFmtId="0" fontId="6" fillId="0" borderId="17" xfId="0" applyFont="1" applyBorder="1" applyAlignment="1">
      <alignment horizontal="left"/>
    </xf>
    <xf numFmtId="0" fontId="6" fillId="0" borderId="19" xfId="0" applyFont="1" applyBorder="1" applyAlignment="1">
      <alignment horizontal="left"/>
    </xf>
    <xf numFmtId="3" fontId="0" fillId="0" borderId="25" xfId="0" applyNumberFormat="1" applyFont="1" applyBorder="1" applyAlignment="1">
      <alignment horizontal="center" vertical="center"/>
    </xf>
    <xf numFmtId="0" fontId="0" fillId="0" borderId="13" xfId="0" applyFont="1" applyBorder="1" applyAlignment="1">
      <alignment horizontal="center" vertical="center"/>
    </xf>
    <xf numFmtId="3" fontId="0" fillId="0" borderId="13" xfId="0" applyNumberFormat="1" applyFont="1" applyBorder="1" applyAlignment="1">
      <alignment horizontal="center" vertical="center"/>
    </xf>
    <xf numFmtId="0" fontId="0" fillId="0" borderId="10" xfId="0" applyFont="1" applyBorder="1" applyAlignment="1">
      <alignment horizontal="center"/>
    </xf>
    <xf numFmtId="0" fontId="0" fillId="0" borderId="26" xfId="0" applyFont="1" applyBorder="1" applyAlignment="1">
      <alignment horizontal="center"/>
    </xf>
    <xf numFmtId="0" fontId="0" fillId="0" borderId="1" xfId="0" applyFont="1" applyBorder="1" applyAlignment="1">
      <alignment horizontal="center"/>
    </xf>
    <xf numFmtId="166" fontId="4" fillId="0" borderId="25" xfId="1" applyNumberFormat="1" applyFont="1" applyFill="1" applyBorder="1" applyAlignment="1">
      <alignment horizontal="center" vertical="center"/>
    </xf>
    <xf numFmtId="166" fontId="0" fillId="0" borderId="25" xfId="1" applyNumberFormat="1" applyFont="1" applyFill="1" applyBorder="1" applyAlignment="1">
      <alignment horizontal="center" vertical="center"/>
    </xf>
    <xf numFmtId="166" fontId="0" fillId="0" borderId="13" xfId="1" applyNumberFormat="1" applyFont="1" applyFill="1" applyBorder="1" applyAlignment="1">
      <alignment horizontal="center" vertical="center"/>
    </xf>
    <xf numFmtId="0" fontId="2" fillId="0" borderId="0" xfId="0" applyFont="1" applyAlignment="1">
      <alignment horizontal="center"/>
    </xf>
    <xf numFmtId="0" fontId="0" fillId="0" borderId="0" xfId="0" applyFont="1" applyAlignment="1"/>
  </cellXfs>
  <cellStyles count="3">
    <cellStyle name="Відсотковий" xfId="2" builtinId="5"/>
    <cellStyle name="Звичайний" xfId="0" builtinId="0"/>
    <cellStyle name="Фінансови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uk-UA"/>
              <a:t>Інтенсивність розсилки</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uk-UA"/>
        </a:p>
      </c:txPr>
    </c:title>
    <c:autoTitleDeleted val="0"/>
    <c:plotArea>
      <c:layout/>
      <c:barChart>
        <c:barDir val="col"/>
        <c:grouping val="clustered"/>
        <c:varyColors val="0"/>
        <c:ser>
          <c:idx val="0"/>
          <c:order val="0"/>
          <c:spPr>
            <a:solidFill>
              <a:schemeClr val="accent6">
                <a:lumMod val="75000"/>
              </a:schemeClr>
            </a:solidFill>
            <a:ln>
              <a:noFill/>
            </a:ln>
            <a:effectLst/>
          </c:spPr>
          <c:invertIfNegative val="0"/>
          <c:val>
            <c:numRef>
              <c:f>'Emails sent (tasks 1, 3, 4)'!$C$110:$AT$110</c:f>
              <c:numCache>
                <c:formatCode>0.00</c:formatCode>
                <c:ptCount val="44"/>
                <c:pt idx="0">
                  <c:v>49.075123238301643</c:v>
                </c:pt>
                <c:pt idx="1">
                  <c:v>44.231807047484949</c:v>
                </c:pt>
                <c:pt idx="2">
                  <c:v>41.816165809686801</c:v>
                </c:pt>
                <c:pt idx="3">
                  <c:v>40.418221588162154</c:v>
                </c:pt>
                <c:pt idx="4">
                  <c:v>37.677042346703118</c:v>
                </c:pt>
                <c:pt idx="5">
                  <c:v>35.776772707207307</c:v>
                </c:pt>
                <c:pt idx="6">
                  <c:v>34.130063051585786</c:v>
                </c:pt>
                <c:pt idx="7">
                  <c:v>32.575132899137614</c:v>
                </c:pt>
                <c:pt idx="8">
                  <c:v>31.344795646605171</c:v>
                </c:pt>
                <c:pt idx="9">
                  <c:v>30.051890676609094</c:v>
                </c:pt>
                <c:pt idx="10">
                  <c:v>28.842034900473966</c:v>
                </c:pt>
                <c:pt idx="11">
                  <c:v>27.560965039601403</c:v>
                </c:pt>
                <c:pt idx="12">
                  <c:v>26.44788660278768</c:v>
                </c:pt>
                <c:pt idx="13">
                  <c:v>25.288532248500161</c:v>
                </c:pt>
                <c:pt idx="14">
                  <c:v>23.803325760246018</c:v>
                </c:pt>
                <c:pt idx="15">
                  <c:v>22.43199471678324</c:v>
                </c:pt>
                <c:pt idx="16">
                  <c:v>21.083996747505701</c:v>
                </c:pt>
                <c:pt idx="17">
                  <c:v>19.664914589049665</c:v>
                </c:pt>
                <c:pt idx="18">
                  <c:v>18.355931092800009</c:v>
                </c:pt>
                <c:pt idx="19">
                  <c:v>17.190759279029066</c:v>
                </c:pt>
                <c:pt idx="20">
                  <c:v>15.860091539360992</c:v>
                </c:pt>
                <c:pt idx="21">
                  <c:v>14.620076437731477</c:v>
                </c:pt>
                <c:pt idx="22">
                  <c:v>14.151125208124364</c:v>
                </c:pt>
                <c:pt idx="23">
                  <c:v>13.656060708630045</c:v>
                </c:pt>
                <c:pt idx="24">
                  <c:v>13.143948215071429</c:v>
                </c:pt>
                <c:pt idx="25">
                  <c:v>12.64790071215846</c:v>
                </c:pt>
                <c:pt idx="26">
                  <c:v>12.254309322157148</c:v>
                </c:pt>
                <c:pt idx="27">
                  <c:v>11.953973739679613</c:v>
                </c:pt>
                <c:pt idx="28">
                  <c:v>11.594485701736392</c:v>
                </c:pt>
                <c:pt idx="29">
                  <c:v>11.334403370139819</c:v>
                </c:pt>
                <c:pt idx="30">
                  <c:v>10.504619843284956</c:v>
                </c:pt>
                <c:pt idx="31">
                  <c:v>9.9629633750589264</c:v>
                </c:pt>
                <c:pt idx="32">
                  <c:v>9.5021537532582698</c:v>
                </c:pt>
                <c:pt idx="33">
                  <c:v>9.0596932571715261</c:v>
                </c:pt>
                <c:pt idx="34">
                  <c:v>8.7151720396235071</c:v>
                </c:pt>
                <c:pt idx="35">
                  <c:v>8.6283580809947598</c:v>
                </c:pt>
                <c:pt idx="36">
                  <c:v>8.4793752971987644</c:v>
                </c:pt>
                <c:pt idx="37">
                  <c:v>8.2897705616914976</c:v>
                </c:pt>
                <c:pt idx="38">
                  <c:v>7.9812265247009746</c:v>
                </c:pt>
                <c:pt idx="39">
                  <c:v>7.7533567379086747</c:v>
                </c:pt>
                <c:pt idx="40">
                  <c:v>7.4500302906912159</c:v>
                </c:pt>
                <c:pt idx="41">
                  <c:v>7.2771271879797785</c:v>
                </c:pt>
                <c:pt idx="42">
                  <c:v>7.1334544302506639</c:v>
                </c:pt>
                <c:pt idx="43">
                  <c:v>6.5079200914484785</c:v>
                </c:pt>
              </c:numCache>
            </c:numRef>
          </c:val>
          <c:extLst>
            <c:ext xmlns:c16="http://schemas.microsoft.com/office/drawing/2014/chart" uri="{C3380CC4-5D6E-409C-BE32-E72D297353CC}">
              <c16:uniqueId val="{00000000-5BF1-4672-800D-4884198098BF}"/>
            </c:ext>
          </c:extLst>
        </c:ser>
        <c:dLbls>
          <c:showLegendKey val="0"/>
          <c:showVal val="0"/>
          <c:showCatName val="0"/>
          <c:showSerName val="0"/>
          <c:showPercent val="0"/>
          <c:showBubbleSize val="0"/>
        </c:dLbls>
        <c:gapWidth val="219"/>
        <c:overlap val="-27"/>
        <c:axId val="887455872"/>
        <c:axId val="887456352"/>
      </c:barChart>
      <c:catAx>
        <c:axId val="887455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uk-UA"/>
                  <a:t>Тиждень життя</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uk-U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crossAx val="887456352"/>
        <c:crosses val="autoZero"/>
        <c:auto val="1"/>
        <c:lblAlgn val="ctr"/>
        <c:lblOffset val="100"/>
        <c:noMultiLvlLbl val="0"/>
      </c:catAx>
      <c:valAx>
        <c:axId val="88745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uk-UA"/>
                  <a:t>Середня к-сть надісланих емейлів одному користувачу</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uk-UA"/>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crossAx val="887455872"/>
        <c:crosses val="autoZero"/>
        <c:crossBetween val="between"/>
      </c:valAx>
      <c:spPr>
        <a:noFill/>
        <a:ln>
          <a:noFill/>
        </a:ln>
        <a:effectLst/>
      </c:spPr>
    </c:plotArea>
    <c:plotVisOnly val="1"/>
    <c:dispBlanksAs val="gap"/>
    <c:showDLblsOverMax val="0"/>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uk-U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CTR Rate</a:t>
            </a:r>
            <a:endParaRPr lang="uk-U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uk-UA"/>
        </a:p>
      </c:txPr>
    </c:title>
    <c:autoTitleDeleted val="0"/>
    <c:plotArea>
      <c:layout/>
      <c:barChart>
        <c:barDir val="col"/>
        <c:grouping val="clustered"/>
        <c:varyColors val="0"/>
        <c:ser>
          <c:idx val="1"/>
          <c:order val="1"/>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uk-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'Emails sent (tasks 1, 3, 4)'!$A$147:$A$149</c:f>
              <c:strCache>
                <c:ptCount val="3"/>
                <c:pt idx="0">
                  <c:v>з 17 по 20 тиждень:</c:v>
                </c:pt>
                <c:pt idx="1">
                  <c:v>з 21 по 24 тиждень:</c:v>
                </c:pt>
                <c:pt idx="2">
                  <c:v>з 25 по 28 тиждень:</c:v>
                </c:pt>
              </c:strCache>
            </c:strRef>
          </c:cat>
          <c:val>
            <c:numRef>
              <c:f>'Emails sent (tasks 1, 3, 4)'!$D$147:$D$149</c:f>
              <c:numCache>
                <c:formatCode>0.00%</c:formatCode>
                <c:ptCount val="3"/>
                <c:pt idx="0">
                  <c:v>5.4929914368470972E-2</c:v>
                </c:pt>
                <c:pt idx="1">
                  <c:v>5.6265151270868931E-2</c:v>
                </c:pt>
                <c:pt idx="2">
                  <c:v>2.7378882705171147E-2</c:v>
                </c:pt>
              </c:numCache>
            </c:numRef>
          </c:val>
          <c:extLst>
            <c:ext xmlns:c16="http://schemas.microsoft.com/office/drawing/2014/chart" uri="{C3380CC4-5D6E-409C-BE32-E72D297353CC}">
              <c16:uniqueId val="{00000001-D17A-43A2-8BDE-5EFC95AD6420}"/>
            </c:ext>
          </c:extLst>
        </c:ser>
        <c:dLbls>
          <c:dLblPos val="outEnd"/>
          <c:showLegendKey val="0"/>
          <c:showVal val="1"/>
          <c:showCatName val="0"/>
          <c:showSerName val="0"/>
          <c:showPercent val="0"/>
          <c:showBubbleSize val="0"/>
        </c:dLbls>
        <c:gapWidth val="219"/>
        <c:overlap val="-27"/>
        <c:axId val="826041120"/>
        <c:axId val="826042560"/>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'Emails sent (tasks 1, 3, 4)'!$A$147:$A$149</c15:sqref>
                        </c15:formulaRef>
                      </c:ext>
                    </c:extLst>
                    <c:strCache>
                      <c:ptCount val="3"/>
                      <c:pt idx="0">
                        <c:v>з 17 по 20 тиждень:</c:v>
                      </c:pt>
                      <c:pt idx="1">
                        <c:v>з 21 по 24 тиждень:</c:v>
                      </c:pt>
                      <c:pt idx="2">
                        <c:v>з 25 по 28 тиждень:</c:v>
                      </c:pt>
                    </c:strCache>
                  </c:strRef>
                </c:cat>
                <c:val>
                  <c:numRef>
                    <c:extLst>
                      <c:ext uri="{02D57815-91ED-43cb-92C2-25804820EDAC}">
                        <c15:formulaRef>
                          <c15:sqref>'Emails sent (tasks 1, 3, 4)'!$B$148:$B$159</c15:sqref>
                        </c15:formulaRef>
                      </c:ext>
                    </c:extLst>
                    <c:numCache>
                      <c:formatCode>#,##0</c:formatCode>
                      <c:ptCount val="12"/>
                      <c:pt idx="0">
                        <c:v>100804310.14204688</c:v>
                      </c:pt>
                      <c:pt idx="1">
                        <c:v>166745934.33555621</c:v>
                      </c:pt>
                    </c:numCache>
                  </c:numRef>
                </c:val>
                <c:extLst>
                  <c:ext xmlns:c16="http://schemas.microsoft.com/office/drawing/2014/chart" uri="{C3380CC4-5D6E-409C-BE32-E72D297353CC}">
                    <c16:uniqueId val="{00000000-8EE1-432B-85D0-0208DB6B2EA5}"/>
                  </c:ext>
                </c:extLst>
              </c15:ser>
            </c15:filteredBarSeries>
          </c:ext>
        </c:extLst>
      </c:barChart>
      <c:catAx>
        <c:axId val="82604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uk-UA"/>
                  <a:t>Період</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uk-UA"/>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crossAx val="826042560"/>
        <c:crosses val="autoZero"/>
        <c:auto val="1"/>
        <c:lblAlgn val="ctr"/>
        <c:lblOffset val="100"/>
        <c:noMultiLvlLbl val="0"/>
      </c:catAx>
      <c:valAx>
        <c:axId val="82604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uk-UA"/>
                  <a:t>Середній </a:t>
                </a:r>
                <a:r>
                  <a:rPr lang="en-US"/>
                  <a:t>CTR </a:t>
                </a:r>
                <a:r>
                  <a:rPr lang="uk-UA"/>
                  <a:t>впродовж року</a:t>
                </a:r>
              </a:p>
            </c:rich>
          </c:tx>
          <c:layout>
            <c:manualLayout>
              <c:xMode val="edge"/>
              <c:yMode val="edge"/>
              <c:x val="2.5003062492343769E-2"/>
              <c:y val="0.157817258883248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uk-UA"/>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crossAx val="826041120"/>
        <c:crosses val="autoZero"/>
        <c:crossBetween val="between"/>
      </c:valAx>
      <c:spPr>
        <a:noFill/>
        <a:ln>
          <a:noFill/>
        </a:ln>
        <a:effectLst/>
      </c:spPr>
    </c:plotArea>
    <c:plotVisOnly val="1"/>
    <c:dispBlanksAs val="gap"/>
    <c:showDLblsOverMax val="0"/>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uk-U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Retention curve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uk-UA"/>
        </a:p>
      </c:txPr>
    </c:title>
    <c:autoTitleDeleted val="0"/>
    <c:plotArea>
      <c:layout/>
      <c:lineChart>
        <c:grouping val="standard"/>
        <c:varyColors val="0"/>
        <c:ser>
          <c:idx val="0"/>
          <c:order val="0"/>
          <c:spPr>
            <a:ln w="28575" cap="rnd">
              <a:solidFill>
                <a:schemeClr val="accent6"/>
              </a:solidFill>
              <a:round/>
            </a:ln>
            <a:effectLst/>
          </c:spPr>
          <c:marker>
            <c:symbol val="none"/>
          </c:marker>
          <c:val>
            <c:numRef>
              <c:f>'Users Retention Rate (task 2)'!$C$56:$AT$56</c:f>
              <c:numCache>
                <c:formatCode>0.00%</c:formatCode>
                <c:ptCount val="44"/>
                <c:pt idx="0">
                  <c:v>0.56284999999999985</c:v>
                </c:pt>
                <c:pt idx="1">
                  <c:v>0.51056046511627906</c:v>
                </c:pt>
                <c:pt idx="2">
                  <c:v>0.48403095238095228</c:v>
                </c:pt>
                <c:pt idx="3">
                  <c:v>0.46804634146341467</c:v>
                </c:pt>
                <c:pt idx="4">
                  <c:v>0.43798999999999993</c:v>
                </c:pt>
                <c:pt idx="5">
                  <c:v>0.41785384615384602</c:v>
                </c:pt>
                <c:pt idx="6">
                  <c:v>0.40034210526315794</c:v>
                </c:pt>
                <c:pt idx="7">
                  <c:v>0.38368918918918926</c:v>
                </c:pt>
                <c:pt idx="8">
                  <c:v>0.37076944444444448</c:v>
                </c:pt>
                <c:pt idx="9">
                  <c:v>0.35709428571428575</c:v>
                </c:pt>
                <c:pt idx="10">
                  <c:v>0.34448235294117646</c:v>
                </c:pt>
                <c:pt idx="11">
                  <c:v>0.33129090909090925</c:v>
                </c:pt>
                <c:pt idx="12">
                  <c:v>0.32004062500000002</c:v>
                </c:pt>
                <c:pt idx="13">
                  <c:v>0.3086387096774193</c:v>
                </c:pt>
                <c:pt idx="14">
                  <c:v>0.29845666666666659</c:v>
                </c:pt>
                <c:pt idx="15">
                  <c:v>0.28931034482758622</c:v>
                </c:pt>
                <c:pt idx="16">
                  <c:v>0.28015714285714283</c:v>
                </c:pt>
                <c:pt idx="17">
                  <c:v>0.27065925925925927</c:v>
                </c:pt>
                <c:pt idx="18">
                  <c:v>0.26213076923076922</c:v>
                </c:pt>
                <c:pt idx="19">
                  <c:v>0.25597200000000003</c:v>
                </c:pt>
                <c:pt idx="20">
                  <c:v>0.24842500000000001</c:v>
                </c:pt>
                <c:pt idx="21">
                  <c:v>0.24111304347826085</c:v>
                </c:pt>
                <c:pt idx="22">
                  <c:v>0.23501818181818182</c:v>
                </c:pt>
                <c:pt idx="23">
                  <c:v>0.22861428571428574</c:v>
                </c:pt>
                <c:pt idx="24">
                  <c:v>0.22182499999999999</c:v>
                </c:pt>
                <c:pt idx="25">
                  <c:v>0.2155684210526316</c:v>
                </c:pt>
                <c:pt idx="26">
                  <c:v>0.21115555555555557</c:v>
                </c:pt>
                <c:pt idx="27">
                  <c:v>0.20810000000000001</c:v>
                </c:pt>
                <c:pt idx="28">
                  <c:v>0.20406875000000002</c:v>
                </c:pt>
                <c:pt idx="29">
                  <c:v>0.20181333333333334</c:v>
                </c:pt>
                <c:pt idx="30">
                  <c:v>0.19118571428571429</c:v>
                </c:pt>
                <c:pt idx="31">
                  <c:v>0.18519230769230768</c:v>
                </c:pt>
                <c:pt idx="32">
                  <c:v>0.18044166666666669</c:v>
                </c:pt>
                <c:pt idx="33">
                  <c:v>0.17654545454545453</c:v>
                </c:pt>
                <c:pt idx="34">
                  <c:v>0.17432999999999998</c:v>
                </c:pt>
                <c:pt idx="35">
                  <c:v>0.17257777777777777</c:v>
                </c:pt>
                <c:pt idx="36">
                  <c:v>0.1696125</c:v>
                </c:pt>
                <c:pt idx="37">
                  <c:v>0.16578571428571429</c:v>
                </c:pt>
                <c:pt idx="38">
                  <c:v>0.15966666666666665</c:v>
                </c:pt>
                <c:pt idx="39">
                  <c:v>0.15506</c:v>
                </c:pt>
                <c:pt idx="40">
                  <c:v>0.14902499999999996</c:v>
                </c:pt>
                <c:pt idx="41">
                  <c:v>0.14549999999999999</c:v>
                </c:pt>
                <c:pt idx="42">
                  <c:v>0.14269999999999999</c:v>
                </c:pt>
                <c:pt idx="43">
                  <c:v>0.13020000000000001</c:v>
                </c:pt>
              </c:numCache>
            </c:numRef>
          </c:val>
          <c:smooth val="0"/>
          <c:extLst>
            <c:ext xmlns:c16="http://schemas.microsoft.com/office/drawing/2014/chart" uri="{C3380CC4-5D6E-409C-BE32-E72D297353CC}">
              <c16:uniqueId val="{00000000-1CCA-48DD-B98A-ED4B1A536D60}"/>
            </c:ext>
          </c:extLst>
        </c:ser>
        <c:dLbls>
          <c:showLegendKey val="0"/>
          <c:showVal val="0"/>
          <c:showCatName val="0"/>
          <c:showSerName val="0"/>
          <c:showPercent val="0"/>
          <c:showBubbleSize val="0"/>
        </c:dLbls>
        <c:smooth val="0"/>
        <c:axId val="811122864"/>
        <c:axId val="811125264"/>
      </c:lineChart>
      <c:catAx>
        <c:axId val="81112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uk-UA"/>
                  <a:t>Тиждень життя</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uk-U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crossAx val="811125264"/>
        <c:crosses val="autoZero"/>
        <c:auto val="1"/>
        <c:lblAlgn val="ctr"/>
        <c:lblOffset val="100"/>
        <c:noMultiLvlLbl val="0"/>
      </c:catAx>
      <c:valAx>
        <c:axId val="811125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uk-UA"/>
                  <a:t>Відсоток утримання користувача</a:t>
                </a:r>
              </a:p>
            </c:rich>
          </c:tx>
          <c:layout>
            <c:manualLayout>
              <c:xMode val="edge"/>
              <c:yMode val="edge"/>
              <c:x val="1.320131841670975E-2"/>
              <c:y val="0.158006952491309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uk-UA"/>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crossAx val="811122864"/>
        <c:crosses val="autoZero"/>
        <c:crossBetween val="between"/>
      </c:valAx>
      <c:spPr>
        <a:noFill/>
        <a:ln>
          <a:noFill/>
        </a:ln>
        <a:effectLst/>
      </c:spPr>
    </c:plotArea>
    <c:plotVisOnly val="1"/>
    <c:dispBlanksAs val="gap"/>
    <c:showDLblsOverMax val="0"/>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uk-U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uk-U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uk-UA"/>
              <a:t>Динаміка активних користувачів (</a:t>
            </a:r>
            <a:r>
              <a:rPr lang="en-US"/>
              <a:t>WAU</a:t>
            </a:r>
            <a:r>
              <a:rPr lang="uk-UA"/>
              <a:t>)</a:t>
            </a:r>
            <a:r>
              <a:rPr lang="en-US"/>
              <a:t> </a:t>
            </a:r>
            <a:r>
              <a:rPr lang="uk-UA"/>
              <a:t>та нових інсталяцій</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uk-UA"/>
        </a:p>
      </c:txPr>
    </c:title>
    <c:autoTitleDeleted val="0"/>
    <c:plotArea>
      <c:layout/>
      <c:barChart>
        <c:barDir val="col"/>
        <c:grouping val="clustered"/>
        <c:varyColors val="0"/>
        <c:ser>
          <c:idx val="0"/>
          <c:order val="0"/>
          <c:tx>
            <c:strRef>
              <c:f>'Active users'!$A$1</c:f>
              <c:strCache>
                <c:ptCount val="1"/>
                <c:pt idx="0">
                  <c:v>Week №</c:v>
                </c:pt>
              </c:strCache>
            </c:strRef>
          </c:tx>
          <c:spPr>
            <a:solidFill>
              <a:schemeClr val="accent1"/>
            </a:solidFill>
            <a:ln>
              <a:noFill/>
            </a:ln>
            <a:effectLst/>
          </c:spPr>
          <c:invertIfNegative val="0"/>
          <c:val>
            <c:numRef>
              <c:f>'Active users'!$A$2:$A$45</c:f>
              <c:numCache>
                <c:formatCode>General</c:formatCode>
                <c:ptCount val="4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numCache>
            </c:numRef>
          </c:val>
          <c:extLst>
            <c:ext xmlns:c16="http://schemas.microsoft.com/office/drawing/2014/chart" uri="{C3380CC4-5D6E-409C-BE32-E72D297353CC}">
              <c16:uniqueId val="{00000000-B9E4-49F4-89FF-ED138E7DF2D3}"/>
            </c:ext>
          </c:extLst>
        </c:ser>
        <c:dLbls>
          <c:showLegendKey val="0"/>
          <c:showVal val="0"/>
          <c:showCatName val="0"/>
          <c:showSerName val="0"/>
          <c:showPercent val="0"/>
          <c:showBubbleSize val="0"/>
        </c:dLbls>
        <c:gapWidth val="219"/>
        <c:overlap val="-27"/>
        <c:axId val="803447200"/>
        <c:axId val="803449600"/>
      </c:barChart>
      <c:lineChart>
        <c:grouping val="standard"/>
        <c:varyColors val="0"/>
        <c:ser>
          <c:idx val="1"/>
          <c:order val="1"/>
          <c:tx>
            <c:strRef>
              <c:f>'Active users'!$B$1</c:f>
              <c:strCache>
                <c:ptCount val="1"/>
                <c:pt idx="0">
                  <c:v>Active Users</c:v>
                </c:pt>
              </c:strCache>
            </c:strRef>
          </c:tx>
          <c:spPr>
            <a:ln w="28575" cap="rnd">
              <a:solidFill>
                <a:schemeClr val="accent2"/>
              </a:solidFill>
              <a:round/>
            </a:ln>
            <a:effectLst/>
          </c:spPr>
          <c:marker>
            <c:symbol val="none"/>
          </c:marker>
          <c:val>
            <c:numRef>
              <c:f>'Active users'!$B$2:$B$45</c:f>
              <c:numCache>
                <c:formatCode>_-* #,##0_-;\-* #,##0_-;_-* "-"??_-;_-@_-</c:formatCode>
                <c:ptCount val="44"/>
                <c:pt idx="0">
                  <c:v>69564</c:v>
                </c:pt>
                <c:pt idx="1">
                  <c:v>76343</c:v>
                </c:pt>
                <c:pt idx="2">
                  <c:v>85978</c:v>
                </c:pt>
                <c:pt idx="3">
                  <c:v>94725</c:v>
                </c:pt>
                <c:pt idx="4">
                  <c:v>102012</c:v>
                </c:pt>
                <c:pt idx="5">
                  <c:v>104104</c:v>
                </c:pt>
                <c:pt idx="6">
                  <c:v>107940</c:v>
                </c:pt>
                <c:pt idx="7">
                  <c:v>111561</c:v>
                </c:pt>
                <c:pt idx="8">
                  <c:v>116495</c:v>
                </c:pt>
                <c:pt idx="9">
                  <c:v>134198</c:v>
                </c:pt>
                <c:pt idx="10">
                  <c:v>142446</c:v>
                </c:pt>
                <c:pt idx="11">
                  <c:v>134965</c:v>
                </c:pt>
                <c:pt idx="12">
                  <c:v>128583</c:v>
                </c:pt>
                <c:pt idx="13">
                  <c:v>132616</c:v>
                </c:pt>
                <c:pt idx="14">
                  <c:v>136457</c:v>
                </c:pt>
                <c:pt idx="15">
                  <c:v>142782</c:v>
                </c:pt>
                <c:pt idx="16">
                  <c:v>149274</c:v>
                </c:pt>
                <c:pt idx="17">
                  <c:v>155808</c:v>
                </c:pt>
                <c:pt idx="18">
                  <c:v>165820</c:v>
                </c:pt>
                <c:pt idx="19">
                  <c:v>177063</c:v>
                </c:pt>
                <c:pt idx="20">
                  <c:v>184931</c:v>
                </c:pt>
                <c:pt idx="21">
                  <c:v>188171</c:v>
                </c:pt>
                <c:pt idx="22">
                  <c:v>197678</c:v>
                </c:pt>
                <c:pt idx="23">
                  <c:v>209092</c:v>
                </c:pt>
                <c:pt idx="24">
                  <c:v>221556</c:v>
                </c:pt>
                <c:pt idx="25">
                  <c:v>222738</c:v>
                </c:pt>
                <c:pt idx="26">
                  <c:v>222133</c:v>
                </c:pt>
                <c:pt idx="27">
                  <c:v>223426</c:v>
                </c:pt>
                <c:pt idx="28">
                  <c:v>239906</c:v>
                </c:pt>
                <c:pt idx="29">
                  <c:v>247428</c:v>
                </c:pt>
                <c:pt idx="30">
                  <c:v>254670</c:v>
                </c:pt>
                <c:pt idx="31">
                  <c:v>263353</c:v>
                </c:pt>
                <c:pt idx="32">
                  <c:v>273532</c:v>
                </c:pt>
                <c:pt idx="33">
                  <c:v>281868</c:v>
                </c:pt>
                <c:pt idx="34">
                  <c:v>280392</c:v>
                </c:pt>
                <c:pt idx="35">
                  <c:v>276711</c:v>
                </c:pt>
                <c:pt idx="36">
                  <c:v>287348</c:v>
                </c:pt>
                <c:pt idx="37">
                  <c:v>290579</c:v>
                </c:pt>
                <c:pt idx="38">
                  <c:v>293688</c:v>
                </c:pt>
                <c:pt idx="39">
                  <c:v>290068</c:v>
                </c:pt>
                <c:pt idx="40">
                  <c:v>287257</c:v>
                </c:pt>
                <c:pt idx="41">
                  <c:v>286578</c:v>
                </c:pt>
                <c:pt idx="42">
                  <c:v>291486</c:v>
                </c:pt>
                <c:pt idx="43">
                  <c:v>290532</c:v>
                </c:pt>
              </c:numCache>
            </c:numRef>
          </c:val>
          <c:smooth val="0"/>
          <c:extLst>
            <c:ext xmlns:c16="http://schemas.microsoft.com/office/drawing/2014/chart" uri="{C3380CC4-5D6E-409C-BE32-E72D297353CC}">
              <c16:uniqueId val="{00000001-B9E4-49F4-89FF-ED138E7DF2D3}"/>
            </c:ext>
          </c:extLst>
        </c:ser>
        <c:dLbls>
          <c:showLegendKey val="0"/>
          <c:showVal val="0"/>
          <c:showCatName val="0"/>
          <c:showSerName val="0"/>
          <c:showPercent val="0"/>
          <c:showBubbleSize val="0"/>
        </c:dLbls>
        <c:marker val="1"/>
        <c:smooth val="0"/>
        <c:axId val="803447200"/>
        <c:axId val="803449600"/>
      </c:lineChart>
      <c:lineChart>
        <c:grouping val="standard"/>
        <c:varyColors val="0"/>
        <c:ser>
          <c:idx val="2"/>
          <c:order val="2"/>
          <c:tx>
            <c:strRef>
              <c:f>'Active users'!$C$1</c:f>
              <c:strCache>
                <c:ptCount val="1"/>
                <c:pt idx="0">
                  <c:v>Installs</c:v>
                </c:pt>
              </c:strCache>
            </c:strRef>
          </c:tx>
          <c:spPr>
            <a:ln w="28575" cap="rnd">
              <a:solidFill>
                <a:schemeClr val="accent3"/>
              </a:solidFill>
              <a:round/>
            </a:ln>
            <a:effectLst/>
          </c:spPr>
          <c:marker>
            <c:symbol val="none"/>
          </c:marker>
          <c:val>
            <c:numRef>
              <c:f>'Active users'!$C$2:$C$45</c:f>
              <c:numCache>
                <c:formatCode>_-* #,##0_-;\-* #,##0_-;_-* "-"??_-;_-@_-</c:formatCode>
                <c:ptCount val="44"/>
                <c:pt idx="0">
                  <c:v>18371</c:v>
                </c:pt>
                <c:pt idx="1">
                  <c:v>15828</c:v>
                </c:pt>
                <c:pt idx="2">
                  <c:v>17045</c:v>
                </c:pt>
                <c:pt idx="3">
                  <c:v>18451</c:v>
                </c:pt>
                <c:pt idx="4">
                  <c:v>17739</c:v>
                </c:pt>
                <c:pt idx="5">
                  <c:v>14051</c:v>
                </c:pt>
                <c:pt idx="6">
                  <c:v>13354</c:v>
                </c:pt>
                <c:pt idx="7">
                  <c:v>13102</c:v>
                </c:pt>
                <c:pt idx="8">
                  <c:v>13502</c:v>
                </c:pt>
                <c:pt idx="9">
                  <c:v>21946</c:v>
                </c:pt>
                <c:pt idx="10">
                  <c:v>18709</c:v>
                </c:pt>
                <c:pt idx="11">
                  <c:v>14362</c:v>
                </c:pt>
                <c:pt idx="12">
                  <c:v>11567</c:v>
                </c:pt>
                <c:pt idx="13">
                  <c:v>14311</c:v>
                </c:pt>
                <c:pt idx="14">
                  <c:v>27968</c:v>
                </c:pt>
                <c:pt idx="15">
                  <c:v>14336</c:v>
                </c:pt>
                <c:pt idx="16">
                  <c:v>14565</c:v>
                </c:pt>
                <c:pt idx="17">
                  <c:v>14603</c:v>
                </c:pt>
                <c:pt idx="18">
                  <c:v>18337</c:v>
                </c:pt>
                <c:pt idx="19">
                  <c:v>24753</c:v>
                </c:pt>
                <c:pt idx="20">
                  <c:v>24263</c:v>
                </c:pt>
                <c:pt idx="21">
                  <c:v>21213</c:v>
                </c:pt>
                <c:pt idx="22">
                  <c:v>24364</c:v>
                </c:pt>
                <c:pt idx="23">
                  <c:v>30330</c:v>
                </c:pt>
                <c:pt idx="24">
                  <c:v>31688</c:v>
                </c:pt>
                <c:pt idx="25">
                  <c:v>28800</c:v>
                </c:pt>
                <c:pt idx="26">
                  <c:v>26140</c:v>
                </c:pt>
                <c:pt idx="27">
                  <c:v>26366</c:v>
                </c:pt>
                <c:pt idx="28">
                  <c:v>27664</c:v>
                </c:pt>
                <c:pt idx="29">
                  <c:v>27814</c:v>
                </c:pt>
                <c:pt idx="30">
                  <c:v>26498</c:v>
                </c:pt>
                <c:pt idx="31">
                  <c:v>26927</c:v>
                </c:pt>
                <c:pt idx="32">
                  <c:v>30221</c:v>
                </c:pt>
                <c:pt idx="33">
                  <c:v>28525</c:v>
                </c:pt>
                <c:pt idx="34">
                  <c:v>24252</c:v>
                </c:pt>
                <c:pt idx="35">
                  <c:v>22074</c:v>
                </c:pt>
                <c:pt idx="36">
                  <c:v>28741</c:v>
                </c:pt>
                <c:pt idx="37">
                  <c:v>28848</c:v>
                </c:pt>
                <c:pt idx="38">
                  <c:v>29262</c:v>
                </c:pt>
                <c:pt idx="39">
                  <c:v>25293</c:v>
                </c:pt>
                <c:pt idx="40">
                  <c:v>24277</c:v>
                </c:pt>
                <c:pt idx="41">
                  <c:v>24460</c:v>
                </c:pt>
                <c:pt idx="42">
                  <c:v>24301</c:v>
                </c:pt>
                <c:pt idx="43">
                  <c:v>23612</c:v>
                </c:pt>
              </c:numCache>
            </c:numRef>
          </c:val>
          <c:smooth val="0"/>
          <c:extLst>
            <c:ext xmlns:c16="http://schemas.microsoft.com/office/drawing/2014/chart" uri="{C3380CC4-5D6E-409C-BE32-E72D297353CC}">
              <c16:uniqueId val="{00000002-B9E4-49F4-89FF-ED138E7DF2D3}"/>
            </c:ext>
          </c:extLst>
        </c:ser>
        <c:dLbls>
          <c:showLegendKey val="0"/>
          <c:showVal val="0"/>
          <c:showCatName val="0"/>
          <c:showSerName val="0"/>
          <c:showPercent val="0"/>
          <c:showBubbleSize val="0"/>
        </c:dLbls>
        <c:marker val="1"/>
        <c:smooth val="0"/>
        <c:axId val="883729024"/>
        <c:axId val="883730464"/>
      </c:lineChart>
      <c:catAx>
        <c:axId val="8034472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crossAx val="803449600"/>
        <c:crosses val="autoZero"/>
        <c:auto val="1"/>
        <c:lblAlgn val="ctr"/>
        <c:lblOffset val="100"/>
        <c:noMultiLvlLbl val="0"/>
      </c:catAx>
      <c:valAx>
        <c:axId val="803449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crossAx val="803447200"/>
        <c:crosses val="autoZero"/>
        <c:crossBetween val="between"/>
      </c:valAx>
      <c:valAx>
        <c:axId val="883730464"/>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crossAx val="883729024"/>
        <c:crosses val="max"/>
        <c:crossBetween val="between"/>
      </c:valAx>
      <c:catAx>
        <c:axId val="883729024"/>
        <c:scaling>
          <c:orientation val="minMax"/>
        </c:scaling>
        <c:delete val="1"/>
        <c:axPos val="b"/>
        <c:majorTickMark val="out"/>
        <c:minorTickMark val="none"/>
        <c:tickLblPos val="nextTo"/>
        <c:crossAx val="8837304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uk-U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uk-U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58736</xdr:colOff>
      <xdr:row>110</xdr:row>
      <xdr:rowOff>65086</xdr:rowOff>
    </xdr:from>
    <xdr:to>
      <xdr:col>20</xdr:col>
      <xdr:colOff>142875</xdr:colOff>
      <xdr:row>128</xdr:row>
      <xdr:rowOff>246528</xdr:rowOff>
    </xdr:to>
    <xdr:graphicFrame macro="">
      <xdr:nvGraphicFramePr>
        <xdr:cNvPr id="2" name="Діаграма 1">
          <a:extLst>
            <a:ext uri="{FF2B5EF4-FFF2-40B4-BE49-F238E27FC236}">
              <a16:creationId xmlns:a16="http://schemas.microsoft.com/office/drawing/2014/main" id="{5BB88D06-3360-91FA-D318-F6C3D94D0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287711</xdr:colOff>
      <xdr:row>143</xdr:row>
      <xdr:rowOff>98517</xdr:rowOff>
    </xdr:from>
    <xdr:to>
      <xdr:col>13</xdr:col>
      <xdr:colOff>548061</xdr:colOff>
      <xdr:row>158</xdr:row>
      <xdr:rowOff>93475</xdr:rowOff>
    </xdr:to>
    <xdr:graphicFrame macro="">
      <xdr:nvGraphicFramePr>
        <xdr:cNvPr id="3" name="Діаграма 2">
          <a:extLst>
            <a:ext uri="{FF2B5EF4-FFF2-40B4-BE49-F238E27FC236}">
              <a16:creationId xmlns:a16="http://schemas.microsoft.com/office/drawing/2014/main" id="{6C55DF08-E3EB-7DEA-0D33-8E050B75B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95249</xdr:colOff>
      <xdr:row>56</xdr:row>
      <xdr:rowOff>114300</xdr:rowOff>
    </xdr:from>
    <xdr:to>
      <xdr:col>17</xdr:col>
      <xdr:colOff>361950</xdr:colOff>
      <xdr:row>73</xdr:row>
      <xdr:rowOff>101600</xdr:rowOff>
    </xdr:to>
    <xdr:graphicFrame macro="">
      <xdr:nvGraphicFramePr>
        <xdr:cNvPr id="2" name="Діаграма 1">
          <a:extLst>
            <a:ext uri="{FF2B5EF4-FFF2-40B4-BE49-F238E27FC236}">
              <a16:creationId xmlns:a16="http://schemas.microsoft.com/office/drawing/2014/main" id="{460A96B0-9019-6BAC-E09E-1F6F1A5FA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215900</xdr:colOff>
      <xdr:row>0</xdr:row>
      <xdr:rowOff>152400</xdr:rowOff>
    </xdr:from>
    <xdr:to>
      <xdr:col>11</xdr:col>
      <xdr:colOff>873125</xdr:colOff>
      <xdr:row>14</xdr:row>
      <xdr:rowOff>92075</xdr:rowOff>
    </xdr:to>
    <xdr:graphicFrame macro="">
      <xdr:nvGraphicFramePr>
        <xdr:cNvPr id="3" name="Діаграма 2">
          <a:extLst>
            <a:ext uri="{FF2B5EF4-FFF2-40B4-BE49-F238E27FC236}">
              <a16:creationId xmlns:a16="http://schemas.microsoft.com/office/drawing/2014/main" id="{5F3CA53F-3037-312C-AEF7-986EA5EAC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фіс">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Q1000"/>
  <sheetViews>
    <sheetView tabSelected="1" zoomScale="70" zoomScaleNormal="70" workbookViewId="0">
      <pane xSplit="1" ySplit="2" topLeftCell="B104" activePane="bottomRight" state="frozen"/>
      <selection pane="topRight" activeCell="B1" sqref="B1"/>
      <selection pane="bottomLeft" activeCell="A3" sqref="A3"/>
      <selection pane="bottomRight" activeCell="BE22" sqref="BE22"/>
    </sheetView>
  </sheetViews>
  <sheetFormatPr defaultColWidth="12.6328125" defaultRowHeight="15.75" customHeight="1" x14ac:dyDescent="0.25"/>
  <cols>
    <col min="1" max="1" width="27.08984375" customWidth="1"/>
    <col min="2" max="2" width="17" bestFit="1" customWidth="1"/>
    <col min="3" max="3" width="17" customWidth="1"/>
    <col min="4" max="4" width="14.1796875" customWidth="1"/>
    <col min="5" max="46" width="8.90625" customWidth="1"/>
    <col min="47" max="54" width="8.81640625" bestFit="1" customWidth="1"/>
    <col min="55" max="56" width="8.36328125" customWidth="1"/>
    <col min="57" max="57" width="15.36328125" customWidth="1"/>
    <col min="58" max="58" width="22.453125" customWidth="1"/>
    <col min="59" max="69" width="8.36328125" customWidth="1"/>
    <col min="70" max="70" width="8.54296875" customWidth="1"/>
    <col min="71" max="71" width="17.26953125" customWidth="1"/>
  </cols>
  <sheetData>
    <row r="1" spans="1:58" ht="23" x14ac:dyDescent="0.5">
      <c r="A1" s="12" t="s">
        <v>7</v>
      </c>
      <c r="B1" s="17"/>
      <c r="C1" s="17"/>
      <c r="D1" s="17"/>
      <c r="E1" s="17"/>
      <c r="F1" s="17"/>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5"/>
      <c r="AV1" s="5"/>
      <c r="AW1" s="5"/>
      <c r="AX1" s="5"/>
      <c r="AY1" s="5"/>
      <c r="AZ1" s="5"/>
      <c r="BA1" s="5"/>
    </row>
    <row r="2" spans="1:58" ht="12.5" x14ac:dyDescent="0.25">
      <c r="A2" s="6"/>
      <c r="B2" s="6" t="s">
        <v>4</v>
      </c>
      <c r="C2" s="7">
        <v>1</v>
      </c>
      <c r="D2" s="7">
        <v>2</v>
      </c>
      <c r="E2" s="7">
        <v>3</v>
      </c>
      <c r="F2" s="7">
        <v>4</v>
      </c>
      <c r="G2" s="7">
        <v>5</v>
      </c>
      <c r="H2" s="7">
        <v>6</v>
      </c>
      <c r="I2" s="7">
        <v>7</v>
      </c>
      <c r="J2" s="7">
        <v>8</v>
      </c>
      <c r="K2" s="7">
        <v>9</v>
      </c>
      <c r="L2" s="7">
        <v>10</v>
      </c>
      <c r="M2" s="7">
        <v>11</v>
      </c>
      <c r="N2" s="7">
        <v>12</v>
      </c>
      <c r="O2" s="7">
        <v>13</v>
      </c>
      <c r="P2" s="7">
        <v>14</v>
      </c>
      <c r="Q2" s="7">
        <v>15</v>
      </c>
      <c r="R2" s="7">
        <v>16</v>
      </c>
      <c r="S2" s="7">
        <v>17</v>
      </c>
      <c r="T2" s="7">
        <v>18</v>
      </c>
      <c r="U2" s="7">
        <v>19</v>
      </c>
      <c r="V2" s="7">
        <v>20</v>
      </c>
      <c r="W2" s="7">
        <v>21</v>
      </c>
      <c r="X2" s="7">
        <v>22</v>
      </c>
      <c r="Y2" s="7">
        <v>23</v>
      </c>
      <c r="Z2" s="7">
        <v>24</v>
      </c>
      <c r="AA2" s="7">
        <v>25</v>
      </c>
      <c r="AB2" s="7">
        <v>26</v>
      </c>
      <c r="AC2" s="7">
        <v>27</v>
      </c>
      <c r="AD2" s="7">
        <v>28</v>
      </c>
      <c r="AE2" s="7">
        <v>29</v>
      </c>
      <c r="AF2" s="7">
        <v>30</v>
      </c>
      <c r="AG2" s="7">
        <v>31</v>
      </c>
      <c r="AH2" s="7">
        <v>32</v>
      </c>
      <c r="AI2" s="7">
        <v>33</v>
      </c>
      <c r="AJ2" s="7">
        <v>34</v>
      </c>
      <c r="AK2" s="7">
        <v>35</v>
      </c>
      <c r="AL2" s="7">
        <v>36</v>
      </c>
      <c r="AM2" s="7">
        <v>37</v>
      </c>
      <c r="AN2" s="7">
        <v>38</v>
      </c>
      <c r="AO2" s="7">
        <v>39</v>
      </c>
      <c r="AP2" s="7">
        <v>40</v>
      </c>
      <c r="AQ2" s="7">
        <v>41</v>
      </c>
      <c r="AR2" s="7">
        <v>42</v>
      </c>
      <c r="AS2" s="7">
        <v>43</v>
      </c>
      <c r="AT2" s="7">
        <v>44</v>
      </c>
      <c r="AU2" s="56">
        <v>45</v>
      </c>
      <c r="AV2" s="56">
        <v>46</v>
      </c>
      <c r="AW2" s="56">
        <v>47</v>
      </c>
      <c r="AX2" s="56">
        <v>48</v>
      </c>
      <c r="AY2" s="56">
        <v>49</v>
      </c>
      <c r="AZ2" s="56">
        <v>50</v>
      </c>
      <c r="BA2" s="56">
        <v>51</v>
      </c>
      <c r="BB2" s="56">
        <v>52</v>
      </c>
      <c r="BC2" s="126" t="s">
        <v>45</v>
      </c>
      <c r="BD2" s="126"/>
      <c r="BE2" s="44" t="s">
        <v>46</v>
      </c>
      <c r="BF2" s="43" t="s">
        <v>37</v>
      </c>
    </row>
    <row r="3" spans="1:58" ht="15.75" customHeight="1" x14ac:dyDescent="0.25">
      <c r="A3" s="8"/>
      <c r="B3" s="17"/>
      <c r="C3" s="18" t="s">
        <v>8</v>
      </c>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5"/>
      <c r="AV3" s="5"/>
      <c r="AW3" s="5"/>
      <c r="AX3" s="5"/>
      <c r="AY3" s="5"/>
      <c r="AZ3" s="5"/>
      <c r="BA3" s="5"/>
    </row>
    <row r="4" spans="1:58" ht="15.75" customHeight="1" x14ac:dyDescent="0.25">
      <c r="A4" s="17" t="s">
        <v>5</v>
      </c>
      <c r="B4" s="17" t="s">
        <v>6</v>
      </c>
      <c r="C4" s="11"/>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5"/>
      <c r="AV4" s="5"/>
      <c r="AW4" s="5"/>
      <c r="AX4" s="5"/>
      <c r="AY4" s="5"/>
      <c r="AZ4" s="5"/>
      <c r="BA4" s="5"/>
    </row>
    <row r="5" spans="1:58" ht="15.75" customHeight="1" x14ac:dyDescent="0.25">
      <c r="A5" s="17">
        <v>44</v>
      </c>
      <c r="B5" s="17">
        <v>23612</v>
      </c>
      <c r="C5" s="16">
        <v>1227632</v>
      </c>
      <c r="D5" s="51"/>
      <c r="E5" s="51"/>
      <c r="F5" s="51"/>
      <c r="G5" s="51"/>
      <c r="H5" s="51"/>
      <c r="I5" s="51"/>
      <c r="J5" s="51"/>
      <c r="K5" s="51"/>
      <c r="L5" s="51"/>
      <c r="M5" s="51"/>
      <c r="N5" s="51"/>
      <c r="O5" s="51"/>
      <c r="P5" s="51"/>
      <c r="Q5" s="51"/>
      <c r="R5" s="51"/>
      <c r="S5" s="51"/>
      <c r="T5" s="51"/>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5"/>
      <c r="AV5" s="5"/>
      <c r="AW5" s="5"/>
      <c r="AX5" s="5"/>
      <c r="AY5" s="5"/>
      <c r="AZ5" s="5"/>
      <c r="BA5" s="5"/>
    </row>
    <row r="6" spans="1:58" ht="15.75" customHeight="1" x14ac:dyDescent="0.25">
      <c r="A6" s="17">
        <v>43</v>
      </c>
      <c r="B6" s="17">
        <v>24301</v>
      </c>
      <c r="C6" s="16">
        <v>1357449</v>
      </c>
      <c r="D6" s="16">
        <v>1080711</v>
      </c>
      <c r="E6" s="16"/>
      <c r="F6" s="16"/>
      <c r="G6" s="16"/>
      <c r="H6" s="16"/>
      <c r="I6" s="16"/>
      <c r="J6" s="16"/>
      <c r="K6" s="16"/>
      <c r="L6" s="16"/>
      <c r="M6" s="16"/>
      <c r="N6" s="16"/>
      <c r="O6" s="16"/>
      <c r="P6" s="16"/>
      <c r="Q6" s="16"/>
      <c r="R6" s="16"/>
      <c r="S6" s="16"/>
      <c r="T6" s="51"/>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5"/>
      <c r="AV6" s="5"/>
      <c r="AW6" s="5"/>
      <c r="AX6" s="5"/>
      <c r="AY6" s="5"/>
      <c r="AZ6" s="5"/>
      <c r="BA6" s="5"/>
    </row>
    <row r="7" spans="1:58" ht="15.75" customHeight="1" x14ac:dyDescent="0.25">
      <c r="A7" s="17">
        <v>42</v>
      </c>
      <c r="B7" s="17">
        <v>24460</v>
      </c>
      <c r="C7" s="16">
        <v>1319418</v>
      </c>
      <c r="D7" s="16">
        <v>1155992</v>
      </c>
      <c r="E7" s="16">
        <v>949801</v>
      </c>
      <c r="F7" s="16"/>
      <c r="G7" s="16"/>
      <c r="H7" s="16"/>
      <c r="I7" s="16"/>
      <c r="J7" s="16"/>
      <c r="K7" s="16"/>
      <c r="L7" s="16"/>
      <c r="M7" s="16"/>
      <c r="N7" s="16"/>
      <c r="O7" s="16"/>
      <c r="P7" s="16"/>
      <c r="Q7" s="16"/>
      <c r="R7" s="16"/>
      <c r="S7" s="16"/>
      <c r="T7" s="51"/>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5"/>
      <c r="AV7" s="5"/>
      <c r="AW7" s="5"/>
      <c r="AX7" s="5"/>
      <c r="AY7" s="5"/>
      <c r="AZ7" s="5"/>
      <c r="BA7" s="5"/>
    </row>
    <row r="8" spans="1:58" ht="15.75" customHeight="1" x14ac:dyDescent="0.25">
      <c r="A8" s="17">
        <v>41</v>
      </c>
      <c r="B8" s="17">
        <v>24277</v>
      </c>
      <c r="C8" s="16">
        <v>1281076</v>
      </c>
      <c r="D8" s="16">
        <v>1113773</v>
      </c>
      <c r="E8" s="16">
        <v>1019587</v>
      </c>
      <c r="F8" s="16">
        <v>850722</v>
      </c>
      <c r="G8" s="16"/>
      <c r="H8" s="16"/>
      <c r="I8" s="16"/>
      <c r="J8" s="16"/>
      <c r="K8" s="16"/>
      <c r="L8" s="16"/>
      <c r="M8" s="16"/>
      <c r="N8" s="16"/>
      <c r="O8" s="16"/>
      <c r="P8" s="16"/>
      <c r="Q8" s="16"/>
      <c r="R8" s="16"/>
      <c r="S8" s="16"/>
      <c r="T8" s="51"/>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5"/>
      <c r="AV8" s="5"/>
      <c r="AW8" s="5"/>
      <c r="AX8" s="5"/>
      <c r="AY8" s="5"/>
      <c r="AZ8" s="5"/>
      <c r="BA8" s="5"/>
    </row>
    <row r="9" spans="1:58" ht="15.75" customHeight="1" x14ac:dyDescent="0.25">
      <c r="A9" s="17">
        <v>40</v>
      </c>
      <c r="B9" s="17">
        <v>25293</v>
      </c>
      <c r="C9" s="16">
        <v>1311443</v>
      </c>
      <c r="D9" s="16">
        <v>1141968</v>
      </c>
      <c r="E9" s="16">
        <v>1033202</v>
      </c>
      <c r="F9" s="16">
        <v>981579</v>
      </c>
      <c r="G9" s="16">
        <v>800806</v>
      </c>
      <c r="H9" s="16"/>
      <c r="I9" s="16"/>
      <c r="J9" s="16"/>
      <c r="K9" s="16"/>
      <c r="L9" s="16"/>
      <c r="M9" s="16"/>
      <c r="N9" s="16"/>
      <c r="O9" s="16"/>
      <c r="P9" s="16"/>
      <c r="Q9" s="16"/>
      <c r="R9" s="16"/>
      <c r="S9" s="16"/>
      <c r="T9" s="51"/>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5"/>
      <c r="AV9" s="5"/>
      <c r="AW9" s="5"/>
      <c r="AX9" s="5"/>
      <c r="AY9" s="5"/>
      <c r="AZ9" s="5"/>
      <c r="BA9" s="5"/>
    </row>
    <row r="10" spans="1:58" ht="15.75" customHeight="1" x14ac:dyDescent="0.25">
      <c r="A10" s="17">
        <v>39</v>
      </c>
      <c r="B10" s="17">
        <v>29262</v>
      </c>
      <c r="C10" s="16">
        <v>1612295</v>
      </c>
      <c r="D10" s="16">
        <v>1381495</v>
      </c>
      <c r="E10" s="16">
        <v>1242523</v>
      </c>
      <c r="F10" s="16">
        <v>1153155</v>
      </c>
      <c r="G10" s="16">
        <v>1079821</v>
      </c>
      <c r="H10" s="16">
        <v>906168</v>
      </c>
      <c r="I10" s="16"/>
      <c r="J10" s="16"/>
      <c r="K10" s="16"/>
      <c r="L10" s="16"/>
      <c r="M10" s="16"/>
      <c r="N10" s="16"/>
      <c r="O10" s="16"/>
      <c r="P10" s="16"/>
      <c r="Q10" s="16"/>
      <c r="R10" s="16"/>
      <c r="S10" s="16"/>
      <c r="T10" s="51"/>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5"/>
      <c r="AV10" s="5"/>
      <c r="AW10" s="5"/>
      <c r="AX10" s="5"/>
      <c r="AY10" s="5"/>
      <c r="AZ10" s="5"/>
      <c r="BA10" s="5"/>
    </row>
    <row r="11" spans="1:58" ht="15.75" customHeight="1" x14ac:dyDescent="0.25">
      <c r="A11" s="17">
        <v>38</v>
      </c>
      <c r="B11" s="17">
        <v>28848</v>
      </c>
      <c r="C11" s="16">
        <v>1593527</v>
      </c>
      <c r="D11" s="16">
        <v>1371441</v>
      </c>
      <c r="E11" s="16">
        <v>1221391</v>
      </c>
      <c r="F11" s="16">
        <v>1131059</v>
      </c>
      <c r="G11" s="16">
        <v>1038810</v>
      </c>
      <c r="H11" s="16">
        <v>982898</v>
      </c>
      <c r="I11" s="16">
        <v>834855</v>
      </c>
      <c r="J11" s="16"/>
      <c r="K11" s="16"/>
      <c r="L11" s="16"/>
      <c r="M11" s="16"/>
      <c r="N11" s="16"/>
      <c r="O11" s="16"/>
      <c r="P11" s="16"/>
      <c r="Q11" s="16"/>
      <c r="R11" s="16"/>
      <c r="S11" s="16"/>
      <c r="T11" s="51"/>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5"/>
      <c r="AV11" s="5"/>
      <c r="AW11" s="5"/>
      <c r="AX11" s="5"/>
      <c r="AY11" s="5"/>
      <c r="AZ11" s="5"/>
      <c r="BA11" s="5"/>
    </row>
    <row r="12" spans="1:58" ht="15.75" customHeight="1" x14ac:dyDescent="0.25">
      <c r="A12" s="17">
        <v>37</v>
      </c>
      <c r="B12" s="17">
        <v>28741</v>
      </c>
      <c r="C12" s="16">
        <v>1297300</v>
      </c>
      <c r="D12" s="16">
        <v>1097352</v>
      </c>
      <c r="E12" s="16">
        <v>993019</v>
      </c>
      <c r="F12" s="16">
        <v>900757</v>
      </c>
      <c r="G12" s="16">
        <v>823370</v>
      </c>
      <c r="H12" s="16">
        <v>749583</v>
      </c>
      <c r="I12" s="16">
        <v>726548</v>
      </c>
      <c r="J12" s="16">
        <v>594969</v>
      </c>
      <c r="K12" s="16"/>
      <c r="L12" s="16"/>
      <c r="M12" s="16"/>
      <c r="N12" s="16"/>
      <c r="O12" s="16"/>
      <c r="P12" s="16"/>
      <c r="Q12" s="16"/>
      <c r="R12" s="16"/>
      <c r="S12" s="16"/>
      <c r="T12" s="51"/>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5"/>
      <c r="AV12" s="5"/>
      <c r="AW12" s="5"/>
      <c r="AX12" s="5"/>
      <c r="AY12" s="5"/>
      <c r="AZ12" s="5"/>
      <c r="BA12" s="5"/>
    </row>
    <row r="13" spans="1:58" ht="15.75" customHeight="1" x14ac:dyDescent="0.25">
      <c r="A13" s="17">
        <v>36</v>
      </c>
      <c r="B13" s="17">
        <v>22074</v>
      </c>
      <c r="C13" s="16">
        <v>1135031</v>
      </c>
      <c r="D13" s="16">
        <v>987397</v>
      </c>
      <c r="E13" s="16">
        <v>890021</v>
      </c>
      <c r="F13" s="16">
        <v>838426</v>
      </c>
      <c r="G13" s="16">
        <v>747131</v>
      </c>
      <c r="H13" s="16">
        <v>699514</v>
      </c>
      <c r="I13" s="16">
        <v>655678</v>
      </c>
      <c r="J13" s="16">
        <v>620330</v>
      </c>
      <c r="K13" s="16">
        <v>535751</v>
      </c>
      <c r="L13" s="16"/>
      <c r="M13" s="16"/>
      <c r="N13" s="16"/>
      <c r="O13" s="16"/>
      <c r="P13" s="16"/>
      <c r="Q13" s="16"/>
      <c r="R13" s="16"/>
      <c r="S13" s="16"/>
      <c r="T13" s="51"/>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5"/>
      <c r="AV13" s="5"/>
      <c r="AW13" s="5"/>
      <c r="AX13" s="5"/>
      <c r="AY13" s="5"/>
      <c r="AZ13" s="5"/>
      <c r="BA13" s="5"/>
    </row>
    <row r="14" spans="1:58" ht="15.75" customHeight="1" x14ac:dyDescent="0.25">
      <c r="A14" s="17">
        <v>35</v>
      </c>
      <c r="B14" s="17">
        <v>24252</v>
      </c>
      <c r="C14" s="16">
        <v>1375576</v>
      </c>
      <c r="D14" s="16">
        <v>1219418</v>
      </c>
      <c r="E14" s="16">
        <v>1108079</v>
      </c>
      <c r="F14" s="16">
        <v>1037701</v>
      </c>
      <c r="G14" s="16">
        <v>938125</v>
      </c>
      <c r="H14" s="16">
        <v>872662</v>
      </c>
      <c r="I14" s="16">
        <v>826523</v>
      </c>
      <c r="J14" s="16">
        <v>783100</v>
      </c>
      <c r="K14" s="16">
        <v>750039</v>
      </c>
      <c r="L14" s="16">
        <v>643382</v>
      </c>
      <c r="M14" s="16"/>
      <c r="N14" s="16"/>
      <c r="O14" s="16"/>
      <c r="P14" s="16"/>
      <c r="Q14" s="16"/>
      <c r="R14" s="16"/>
      <c r="S14" s="16"/>
      <c r="T14" s="51"/>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5"/>
      <c r="AV14" s="5"/>
      <c r="AW14" s="5"/>
      <c r="AX14" s="5"/>
      <c r="AY14" s="5"/>
      <c r="AZ14" s="5"/>
      <c r="BA14" s="5"/>
    </row>
    <row r="15" spans="1:58" ht="15.75" customHeight="1" x14ac:dyDescent="0.25">
      <c r="A15" s="17">
        <v>34</v>
      </c>
      <c r="B15" s="17">
        <v>28525</v>
      </c>
      <c r="C15" s="16">
        <v>1679291</v>
      </c>
      <c r="D15" s="16">
        <v>1491613</v>
      </c>
      <c r="E15" s="16">
        <v>1375858</v>
      </c>
      <c r="F15" s="16">
        <v>1292500</v>
      </c>
      <c r="G15" s="16">
        <v>1191186</v>
      </c>
      <c r="H15" s="16">
        <v>1107638</v>
      </c>
      <c r="I15" s="16">
        <v>1026251</v>
      </c>
      <c r="J15" s="16">
        <v>984333</v>
      </c>
      <c r="K15" s="16">
        <v>941604</v>
      </c>
      <c r="L15" s="16">
        <v>898825</v>
      </c>
      <c r="M15" s="16">
        <v>788433</v>
      </c>
      <c r="N15" s="16"/>
      <c r="O15" s="16"/>
      <c r="P15" s="16"/>
      <c r="Q15" s="16"/>
      <c r="R15" s="16"/>
      <c r="S15" s="16"/>
      <c r="T15" s="51"/>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5"/>
      <c r="AV15" s="5"/>
      <c r="AW15" s="5"/>
      <c r="AX15" s="5"/>
      <c r="AY15" s="5"/>
      <c r="AZ15" s="5"/>
      <c r="BA15" s="5"/>
    </row>
    <row r="16" spans="1:58" ht="15.75" customHeight="1" x14ac:dyDescent="0.25">
      <c r="A16" s="17">
        <v>33</v>
      </c>
      <c r="B16" s="17">
        <v>30221</v>
      </c>
      <c r="C16" s="16">
        <v>1828699</v>
      </c>
      <c r="D16" s="16">
        <v>1611742</v>
      </c>
      <c r="E16" s="16">
        <v>1482259</v>
      </c>
      <c r="F16" s="16">
        <v>1415600</v>
      </c>
      <c r="G16" s="16">
        <v>1324010</v>
      </c>
      <c r="H16" s="16">
        <v>1234749</v>
      </c>
      <c r="I16" s="16">
        <v>1156532</v>
      </c>
      <c r="J16" s="16">
        <v>1085470</v>
      </c>
      <c r="K16" s="16">
        <v>1027520</v>
      </c>
      <c r="L16" s="16">
        <v>976396</v>
      </c>
      <c r="M16" s="16">
        <v>948900</v>
      </c>
      <c r="N16" s="16">
        <v>824773</v>
      </c>
      <c r="O16" s="16"/>
      <c r="P16" s="16"/>
      <c r="Q16" s="16"/>
      <c r="R16" s="16"/>
      <c r="S16" s="16"/>
      <c r="T16" s="51"/>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5"/>
      <c r="AV16" s="5"/>
      <c r="AW16" s="5"/>
      <c r="AX16" s="5"/>
      <c r="AY16" s="5"/>
      <c r="AZ16" s="5"/>
      <c r="BA16" s="5"/>
    </row>
    <row r="17" spans="1:69" ht="15.75" customHeight="1" x14ac:dyDescent="0.25">
      <c r="A17" s="17">
        <v>32</v>
      </c>
      <c r="B17" s="17">
        <v>26927</v>
      </c>
      <c r="C17" s="16">
        <v>1580102</v>
      </c>
      <c r="D17" s="16">
        <v>1406634</v>
      </c>
      <c r="E17" s="16">
        <v>1303267</v>
      </c>
      <c r="F17" s="16">
        <v>1226511</v>
      </c>
      <c r="G17" s="16">
        <v>1152504</v>
      </c>
      <c r="H17" s="16">
        <v>1076496</v>
      </c>
      <c r="I17" s="16">
        <v>1030514</v>
      </c>
      <c r="J17" s="16">
        <v>951311</v>
      </c>
      <c r="K17" s="16">
        <v>894821</v>
      </c>
      <c r="L17" s="16">
        <v>859476</v>
      </c>
      <c r="M17" s="16">
        <v>812382</v>
      </c>
      <c r="N17" s="16">
        <v>783050</v>
      </c>
      <c r="O17" s="16">
        <v>680706</v>
      </c>
      <c r="P17" s="16"/>
      <c r="Q17" s="16"/>
      <c r="R17" s="16"/>
      <c r="S17" s="16"/>
      <c r="T17" s="51"/>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5"/>
      <c r="AV17" s="5"/>
      <c r="AW17" s="5"/>
      <c r="AX17" s="5"/>
      <c r="AY17" s="5"/>
      <c r="AZ17" s="5"/>
      <c r="BA17" s="5"/>
    </row>
    <row r="18" spans="1:69" ht="15.75" customHeight="1" x14ac:dyDescent="0.25">
      <c r="A18" s="17">
        <v>31</v>
      </c>
      <c r="B18" s="17">
        <v>26498</v>
      </c>
      <c r="C18" s="16">
        <v>2279055</v>
      </c>
      <c r="D18" s="16">
        <v>2069948</v>
      </c>
      <c r="E18" s="16">
        <v>1912176</v>
      </c>
      <c r="F18" s="16">
        <v>1787792</v>
      </c>
      <c r="G18" s="16">
        <v>1674124</v>
      </c>
      <c r="H18" s="16">
        <v>1588370</v>
      </c>
      <c r="I18" s="16">
        <v>1513405</v>
      </c>
      <c r="J18" s="16">
        <v>1431327</v>
      </c>
      <c r="K18" s="16">
        <v>1340997</v>
      </c>
      <c r="L18" s="16">
        <v>1262396</v>
      </c>
      <c r="M18" s="16">
        <v>1221733</v>
      </c>
      <c r="N18" s="16">
        <v>1161497</v>
      </c>
      <c r="O18" s="16">
        <v>1123224</v>
      </c>
      <c r="P18" s="16">
        <v>987762</v>
      </c>
      <c r="Q18" s="16"/>
      <c r="R18" s="16"/>
      <c r="S18" s="16"/>
      <c r="T18" s="51"/>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5"/>
      <c r="AV18" s="5"/>
      <c r="AW18" s="5"/>
      <c r="AX18" s="5"/>
      <c r="AY18" s="5"/>
      <c r="AZ18" s="5"/>
      <c r="BA18" s="5"/>
    </row>
    <row r="19" spans="1:69" ht="15.75" customHeight="1" thickBot="1" x14ac:dyDescent="0.3">
      <c r="A19" s="17">
        <v>30</v>
      </c>
      <c r="B19" s="17">
        <v>27814</v>
      </c>
      <c r="C19" s="16">
        <v>2325600</v>
      </c>
      <c r="D19" s="16">
        <v>2110732</v>
      </c>
      <c r="E19" s="16">
        <v>1980177</v>
      </c>
      <c r="F19" s="16">
        <v>1880772</v>
      </c>
      <c r="G19" s="16">
        <v>1738445</v>
      </c>
      <c r="H19" s="16">
        <v>1630768</v>
      </c>
      <c r="I19" s="16">
        <v>1569076</v>
      </c>
      <c r="J19" s="16">
        <v>1497374</v>
      </c>
      <c r="K19" s="16">
        <v>1421860</v>
      </c>
      <c r="L19" s="16">
        <v>1338013</v>
      </c>
      <c r="M19" s="16">
        <v>1257443</v>
      </c>
      <c r="N19" s="16">
        <v>1204075</v>
      </c>
      <c r="O19" s="16">
        <v>1154378</v>
      </c>
      <c r="P19" s="16">
        <v>1107758</v>
      </c>
      <c r="Q19" s="16">
        <v>978043</v>
      </c>
      <c r="R19" s="16"/>
      <c r="S19" s="16"/>
      <c r="T19" s="51"/>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5"/>
      <c r="AV19" s="5"/>
      <c r="AW19" s="5"/>
      <c r="AX19" s="5"/>
      <c r="AY19" s="5"/>
      <c r="AZ19" s="5"/>
      <c r="BA19" s="5"/>
    </row>
    <row r="20" spans="1:69" ht="15.75" customHeight="1" thickBot="1" x14ac:dyDescent="0.3">
      <c r="A20" s="17">
        <v>29</v>
      </c>
      <c r="B20" s="17">
        <v>27664</v>
      </c>
      <c r="C20" s="16">
        <v>2246265</v>
      </c>
      <c r="D20" s="16">
        <v>2043820</v>
      </c>
      <c r="E20" s="16">
        <v>1951480</v>
      </c>
      <c r="F20" s="16">
        <v>1884366</v>
      </c>
      <c r="G20" s="16">
        <v>1759005</v>
      </c>
      <c r="H20" s="16">
        <v>1656125</v>
      </c>
      <c r="I20" s="16">
        <v>1568515</v>
      </c>
      <c r="J20" s="16">
        <v>1512910</v>
      </c>
      <c r="K20" s="16">
        <v>1435391</v>
      </c>
      <c r="L20" s="16">
        <v>1349908</v>
      </c>
      <c r="M20" s="16">
        <v>1305080</v>
      </c>
      <c r="N20" s="16">
        <v>1223243</v>
      </c>
      <c r="O20" s="16">
        <v>1173896</v>
      </c>
      <c r="P20" s="16">
        <v>1129033</v>
      </c>
      <c r="Q20" s="16">
        <v>1095438</v>
      </c>
      <c r="R20" s="16">
        <v>949092</v>
      </c>
      <c r="S20" s="16"/>
      <c r="T20" s="51"/>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5"/>
      <c r="AV20" s="5"/>
      <c r="AW20" s="5"/>
      <c r="AX20" s="5"/>
      <c r="AY20" s="5"/>
      <c r="AZ20" s="5"/>
      <c r="BA20" s="5"/>
      <c r="BC20" s="124" t="s">
        <v>45</v>
      </c>
      <c r="BD20" s="125"/>
      <c r="BE20" s="49" t="s">
        <v>47</v>
      </c>
      <c r="BF20" s="93" t="s">
        <v>37</v>
      </c>
      <c r="BH20" s="55"/>
      <c r="BI20" s="55"/>
      <c r="BJ20" s="55"/>
      <c r="BK20" s="55"/>
      <c r="BL20" s="55"/>
      <c r="BM20" s="55"/>
      <c r="BN20" s="55"/>
      <c r="BO20" s="55"/>
      <c r="BP20" s="55"/>
      <c r="BQ20" s="55"/>
    </row>
    <row r="21" spans="1:69" ht="15.75" customHeight="1" x14ac:dyDescent="0.25">
      <c r="A21" s="17">
        <v>28</v>
      </c>
      <c r="B21" s="17">
        <v>26366</v>
      </c>
      <c r="C21" s="16">
        <v>2005552</v>
      </c>
      <c r="D21" s="16">
        <v>1896017</v>
      </c>
      <c r="E21" s="16">
        <v>1900346</v>
      </c>
      <c r="F21" s="16">
        <v>1964393</v>
      </c>
      <c r="G21" s="16">
        <v>1826705</v>
      </c>
      <c r="H21" s="16">
        <v>1724434</v>
      </c>
      <c r="I21" s="16">
        <v>1621064</v>
      </c>
      <c r="J21" s="16">
        <v>1548020</v>
      </c>
      <c r="K21" s="16">
        <v>1486159</v>
      </c>
      <c r="L21" s="16">
        <v>1421874</v>
      </c>
      <c r="M21" s="16">
        <v>1353020</v>
      </c>
      <c r="N21" s="16">
        <v>1279874</v>
      </c>
      <c r="O21" s="16">
        <v>1206551</v>
      </c>
      <c r="P21" s="16">
        <v>1149325</v>
      </c>
      <c r="Q21" s="16">
        <v>1107060</v>
      </c>
      <c r="R21" s="16">
        <v>1072462</v>
      </c>
      <c r="S21" s="16">
        <v>939360</v>
      </c>
      <c r="T21" s="53">
        <f t="shared" ref="T21:BB21" si="0">S21*$BE21</f>
        <v>883100.7577488696</v>
      </c>
      <c r="U21" s="53">
        <f t="shared" si="0"/>
        <v>830210.93972132902</v>
      </c>
      <c r="V21" s="53">
        <f t="shared" si="0"/>
        <v>780488.74761465972</v>
      </c>
      <c r="W21" s="53">
        <f t="shared" si="0"/>
        <v>733744.46903527109</v>
      </c>
      <c r="X21" s="53">
        <f t="shared" si="0"/>
        <v>689799.75366109889</v>
      </c>
      <c r="Y21" s="53">
        <f t="shared" si="0"/>
        <v>648486.93275538669</v>
      </c>
      <c r="Z21" s="53">
        <f t="shared" si="0"/>
        <v>609648.37943549035</v>
      </c>
      <c r="AA21" s="53">
        <f t="shared" si="0"/>
        <v>573135.90725584642</v>
      </c>
      <c r="AB21" s="53">
        <f t="shared" si="0"/>
        <v>538810.2048104282</v>
      </c>
      <c r="AC21" s="53">
        <f t="shared" si="0"/>
        <v>506540.30419744586</v>
      </c>
      <c r="AD21" s="53">
        <f t="shared" si="0"/>
        <v>476203.08131824579</v>
      </c>
      <c r="AE21" s="53">
        <f t="shared" si="0"/>
        <v>447682.78610382538</v>
      </c>
      <c r="AF21" s="53">
        <f t="shared" si="0"/>
        <v>420870.60087656841</v>
      </c>
      <c r="AG21" s="53">
        <f t="shared" si="0"/>
        <v>395664.22516215255</v>
      </c>
      <c r="AH21" s="53">
        <f t="shared" si="0"/>
        <v>371967.48536750156</v>
      </c>
      <c r="AI21" s="53">
        <f t="shared" si="0"/>
        <v>349689.96783552866</v>
      </c>
      <c r="AJ21" s="53">
        <f t="shared" si="0"/>
        <v>328746.67387661088</v>
      </c>
      <c r="AK21" s="53">
        <f t="shared" si="0"/>
        <v>309057.69546058547</v>
      </c>
      <c r="AL21" s="53">
        <f t="shared" si="0"/>
        <v>290547.91033188812</v>
      </c>
      <c r="AM21" s="53">
        <f t="shared" si="0"/>
        <v>273146.69538456079</v>
      </c>
      <c r="AN21" s="53">
        <f t="shared" si="0"/>
        <v>256787.6572035272</v>
      </c>
      <c r="AO21" s="53">
        <f t="shared" si="0"/>
        <v>241408.37874402982</v>
      </c>
      <c r="AP21" s="53">
        <f t="shared" si="0"/>
        <v>226950.18118269762</v>
      </c>
      <c r="AQ21" s="53">
        <f t="shared" si="0"/>
        <v>213357.90003159971</v>
      </c>
      <c r="AR21" s="53">
        <f t="shared" si="0"/>
        <v>200579.67466105995</v>
      </c>
      <c r="AS21" s="53">
        <f t="shared" si="0"/>
        <v>188566.75042816787</v>
      </c>
      <c r="AT21" s="53">
        <f t="shared" si="0"/>
        <v>177273.29265601796</v>
      </c>
      <c r="AU21" s="53">
        <f t="shared" si="0"/>
        <v>166656.21175392455</v>
      </c>
      <c r="AV21" s="53">
        <f t="shared" si="0"/>
        <v>156674.99881136822</v>
      </c>
      <c r="AW21" s="53">
        <f t="shared" si="0"/>
        <v>147291.57103839051</v>
      </c>
      <c r="AX21" s="53">
        <f t="shared" si="0"/>
        <v>138470.12646272368</v>
      </c>
      <c r="AY21" s="53">
        <f t="shared" si="0"/>
        <v>130177.00732925937</v>
      </c>
      <c r="AZ21" s="53">
        <f t="shared" si="0"/>
        <v>122380.57168066461</v>
      </c>
      <c r="BA21" s="53">
        <f t="shared" si="0"/>
        <v>115051.07262916748</v>
      </c>
      <c r="BB21" s="53">
        <f t="shared" si="0"/>
        <v>108160.54485888054</v>
      </c>
      <c r="BC21" s="127" t="s">
        <v>32</v>
      </c>
      <c r="BD21" s="128"/>
      <c r="BE21" s="92">
        <f>AVERAGE(S21/R21, R21/Q21, Q21/P21, P21/O21)</f>
        <v>0.94010896541141797</v>
      </c>
      <c r="BF21" s="121">
        <f>SUM(C21:BB24)</f>
        <v>166745934.33555621</v>
      </c>
      <c r="BG21" s="51"/>
      <c r="BH21" s="55"/>
      <c r="BI21" s="55"/>
      <c r="BJ21" s="55"/>
      <c r="BK21" s="55"/>
      <c r="BL21" s="55"/>
      <c r="BM21" s="55"/>
      <c r="BN21" s="55"/>
      <c r="BO21" s="55"/>
      <c r="BP21" s="55"/>
      <c r="BQ21" s="55"/>
    </row>
    <row r="22" spans="1:69" ht="15.75" customHeight="1" x14ac:dyDescent="0.25">
      <c r="A22" s="17">
        <v>27</v>
      </c>
      <c r="B22" s="17">
        <v>26140</v>
      </c>
      <c r="C22" s="16">
        <v>1976575</v>
      </c>
      <c r="D22" s="16">
        <v>1842840</v>
      </c>
      <c r="E22" s="16">
        <v>1829549</v>
      </c>
      <c r="F22" s="16">
        <v>1859419</v>
      </c>
      <c r="G22" s="16">
        <v>1753773</v>
      </c>
      <c r="H22" s="16">
        <v>1678166</v>
      </c>
      <c r="I22" s="16">
        <v>1593898</v>
      </c>
      <c r="J22" s="16">
        <v>1489959</v>
      </c>
      <c r="K22" s="16">
        <v>1415900</v>
      </c>
      <c r="L22" s="16">
        <v>1386429</v>
      </c>
      <c r="M22" s="16">
        <v>1325239</v>
      </c>
      <c r="N22" s="16">
        <v>1263314</v>
      </c>
      <c r="O22" s="16">
        <v>1193968</v>
      </c>
      <c r="P22" s="16">
        <v>1135146</v>
      </c>
      <c r="Q22" s="16">
        <v>1092451</v>
      </c>
      <c r="R22" s="16">
        <v>1043744</v>
      </c>
      <c r="S22" s="16">
        <v>1012785</v>
      </c>
      <c r="T22" s="16">
        <v>894019</v>
      </c>
      <c r="U22" s="53">
        <f t="shared" ref="U22:BB22" si="1">T22*$BE22</f>
        <v>842808.42934201995</v>
      </c>
      <c r="V22" s="53">
        <f t="shared" si="1"/>
        <v>794531.26675155968</v>
      </c>
      <c r="W22" s="53">
        <f t="shared" si="1"/>
        <v>749019.48280070955</v>
      </c>
      <c r="X22" s="53">
        <f t="shared" si="1"/>
        <v>706114.67300564994</v>
      </c>
      <c r="Y22" s="53">
        <f t="shared" si="1"/>
        <v>665667.50649734051</v>
      </c>
      <c r="Z22" s="53">
        <f t="shared" si="1"/>
        <v>627537.20627306856</v>
      </c>
      <c r="AA22" s="53">
        <f t="shared" si="1"/>
        <v>591591.05921986455</v>
      </c>
      <c r="AB22" s="53">
        <f t="shared" si="1"/>
        <v>557703.95420441392</v>
      </c>
      <c r="AC22" s="53">
        <f t="shared" si="1"/>
        <v>525757.94662177865</v>
      </c>
      <c r="AD22" s="53">
        <f t="shared" si="1"/>
        <v>495641.84788733441</v>
      </c>
      <c r="AE22" s="53">
        <f t="shared" si="1"/>
        <v>467250.83844314347</v>
      </c>
      <c r="AF22" s="53">
        <f t="shared" si="1"/>
        <v>440486.10293182544</v>
      </c>
      <c r="AG22" s="53">
        <f t="shared" si="1"/>
        <v>415254.48626814323</v>
      </c>
      <c r="AH22" s="53">
        <f t="shared" si="1"/>
        <v>391468.16941125545</v>
      </c>
      <c r="AI22" s="53">
        <f t="shared" si="1"/>
        <v>369044.36370915605</v>
      </c>
      <c r="AJ22" s="53">
        <f t="shared" si="1"/>
        <v>347905.02275146166</v>
      </c>
      <c r="AK22" s="53">
        <f t="shared" si="1"/>
        <v>327976.57072764577</v>
      </c>
      <c r="AL22" s="53">
        <f t="shared" si="1"/>
        <v>309189.64634526678</v>
      </c>
      <c r="AM22" s="53">
        <f t="shared" si="1"/>
        <v>291478.86141689261</v>
      </c>
      <c r="AN22" s="53">
        <f t="shared" si="1"/>
        <v>274782.57327548024</v>
      </c>
      <c r="AO22" s="53">
        <f t="shared" si="1"/>
        <v>259042.67022609813</v>
      </c>
      <c r="AP22" s="53">
        <f t="shared" si="1"/>
        <v>244204.36928725295</v>
      </c>
      <c r="AQ22" s="53">
        <f t="shared" si="1"/>
        <v>230216.02551785621</v>
      </c>
      <c r="AR22" s="53">
        <f t="shared" si="1"/>
        <v>217028.95226618985</v>
      </c>
      <c r="AS22" s="53">
        <f t="shared" si="1"/>
        <v>204597.25171524507</v>
      </c>
      <c r="AT22" s="53">
        <f t="shared" si="1"/>
        <v>192877.65513464436</v>
      </c>
      <c r="AU22" s="53">
        <f t="shared" si="1"/>
        <v>181829.37228314098</v>
      </c>
      <c r="AV22" s="53">
        <f t="shared" si="1"/>
        <v>171413.94943753933</v>
      </c>
      <c r="AW22" s="53">
        <f t="shared" si="1"/>
        <v>161595.13555390315</v>
      </c>
      <c r="AX22" s="53">
        <f t="shared" si="1"/>
        <v>152338.75609522386</v>
      </c>
      <c r="AY22" s="53">
        <f t="shared" si="1"/>
        <v>143612.59408640387</v>
      </c>
      <c r="AZ22" s="53">
        <f t="shared" si="1"/>
        <v>135386.27798256537</v>
      </c>
      <c r="BA22" s="53">
        <f t="shared" si="1"/>
        <v>127631.17596040803</v>
      </c>
      <c r="BB22" s="53">
        <f t="shared" si="1"/>
        <v>120320.29626469512</v>
      </c>
      <c r="BC22" s="129"/>
      <c r="BD22" s="129"/>
      <c r="BE22" s="60">
        <f>AVERAGE(T22/S22, S22/R22, R22/Q22, Q22/P22)</f>
        <v>0.94271869987329127</v>
      </c>
      <c r="BF22" s="122"/>
      <c r="BG22" s="51"/>
      <c r="BH22" s="51"/>
      <c r="BI22" s="55"/>
      <c r="BJ22" s="55"/>
      <c r="BK22" s="55"/>
      <c r="BL22" s="55"/>
      <c r="BM22" s="55"/>
      <c r="BN22" s="55"/>
      <c r="BO22" s="55"/>
      <c r="BP22" s="55"/>
      <c r="BQ22" s="55"/>
    </row>
    <row r="23" spans="1:69" ht="15.75" customHeight="1" x14ac:dyDescent="0.25">
      <c r="A23" s="17">
        <v>26</v>
      </c>
      <c r="B23" s="17">
        <v>28800</v>
      </c>
      <c r="C23" s="16">
        <v>1807941</v>
      </c>
      <c r="D23" s="16">
        <v>1723157</v>
      </c>
      <c r="E23" s="16">
        <v>1775059</v>
      </c>
      <c r="F23" s="16">
        <v>1803132</v>
      </c>
      <c r="G23" s="16">
        <v>1716746</v>
      </c>
      <c r="H23" s="16">
        <v>1670033</v>
      </c>
      <c r="I23" s="16">
        <v>1609611</v>
      </c>
      <c r="J23" s="16">
        <v>1546248</v>
      </c>
      <c r="K23" s="16">
        <v>1477518</v>
      </c>
      <c r="L23" s="16">
        <v>1400078</v>
      </c>
      <c r="M23" s="16">
        <v>1369033</v>
      </c>
      <c r="N23" s="16">
        <v>1325859</v>
      </c>
      <c r="O23" s="16">
        <v>1264524</v>
      </c>
      <c r="P23" s="16">
        <v>1198806</v>
      </c>
      <c r="Q23" s="16">
        <v>1121419</v>
      </c>
      <c r="R23" s="16">
        <v>1093294</v>
      </c>
      <c r="S23" s="16">
        <v>1049724</v>
      </c>
      <c r="T23" s="16">
        <v>1006468</v>
      </c>
      <c r="U23" s="16">
        <v>902854</v>
      </c>
      <c r="V23" s="53">
        <f t="shared" ref="V23:BB23" si="2">U23*$BE23</f>
        <v>855660.23490891652</v>
      </c>
      <c r="W23" s="53">
        <f t="shared" si="2"/>
        <v>810933.37084886618</v>
      </c>
      <c r="X23" s="53">
        <f t="shared" si="2"/>
        <v>768544.45856807451</v>
      </c>
      <c r="Y23" s="53">
        <f t="shared" si="2"/>
        <v>728371.28921874927</v>
      </c>
      <c r="Z23" s="53">
        <f t="shared" si="2"/>
        <v>690298.04202431999</v>
      </c>
      <c r="AA23" s="53">
        <f t="shared" si="2"/>
        <v>654214.95036372961</v>
      </c>
      <c r="AB23" s="53">
        <f t="shared" si="2"/>
        <v>620017.9853100878</v>
      </c>
      <c r="AC23" s="53">
        <f t="shared" si="2"/>
        <v>587608.5557113142</v>
      </c>
      <c r="AD23" s="53">
        <f t="shared" si="2"/>
        <v>556893.22394809383</v>
      </c>
      <c r="AE23" s="53">
        <f t="shared" si="2"/>
        <v>527783.43654966343</v>
      </c>
      <c r="AF23" s="53">
        <f t="shared" si="2"/>
        <v>500195.26889078435</v>
      </c>
      <c r="AG23" s="53">
        <f t="shared" si="2"/>
        <v>474049.18323385308</v>
      </c>
      <c r="AH23" s="53">
        <f t="shared" si="2"/>
        <v>449269.79941857571</v>
      </c>
      <c r="AI23" s="53">
        <f t="shared" si="2"/>
        <v>425785.67753809621</v>
      </c>
      <c r="AJ23" s="53">
        <f t="shared" si="2"/>
        <v>403529.11197502539</v>
      </c>
      <c r="AK23" s="53">
        <f t="shared" si="2"/>
        <v>382435.93620356859</v>
      </c>
      <c r="AL23" s="53">
        <f t="shared" si="2"/>
        <v>362445.33779498888</v>
      </c>
      <c r="AM23" s="53">
        <f t="shared" si="2"/>
        <v>343499.68309306022</v>
      </c>
      <c r="AN23" s="53">
        <f t="shared" si="2"/>
        <v>325544.35105404229</v>
      </c>
      <c r="AO23" s="53">
        <f t="shared" si="2"/>
        <v>308527.57577213214</v>
      </c>
      <c r="AP23" s="53">
        <f t="shared" si="2"/>
        <v>292400.29723638721</v>
      </c>
      <c r="AQ23" s="53">
        <f t="shared" si="2"/>
        <v>277116.01988884591</v>
      </c>
      <c r="AR23" s="53">
        <f t="shared" si="2"/>
        <v>262630.67857606418</v>
      </c>
      <c r="AS23" s="53">
        <f t="shared" si="2"/>
        <v>248902.51150760057</v>
      </c>
      <c r="AT23" s="53">
        <f t="shared" si="2"/>
        <v>235891.93985518455</v>
      </c>
      <c r="AU23" s="53">
        <f t="shared" si="2"/>
        <v>223561.45364544791</v>
      </c>
      <c r="AV23" s="53">
        <f t="shared" si="2"/>
        <v>211875.50361724355</v>
      </c>
      <c r="AW23" s="53">
        <f t="shared" si="2"/>
        <v>200800.39873177235</v>
      </c>
      <c r="AX23" s="53">
        <f t="shared" si="2"/>
        <v>190304.20904003576</v>
      </c>
      <c r="AY23" s="53">
        <f t="shared" si="2"/>
        <v>180356.67362757717</v>
      </c>
      <c r="AZ23" s="53">
        <f t="shared" si="2"/>
        <v>170929.11337111366</v>
      </c>
      <c r="BA23" s="53">
        <f t="shared" si="2"/>
        <v>161994.34825553183</v>
      </c>
      <c r="BB23" s="53">
        <f t="shared" si="2"/>
        <v>153526.6190128694</v>
      </c>
      <c r="BC23" s="129"/>
      <c r="BD23" s="129"/>
      <c r="BE23" s="60">
        <f>AVERAGE(U23/T23, T23/S23, S23/R23, R23/Q23)</f>
        <v>0.94772824278223999</v>
      </c>
      <c r="BF23" s="122"/>
      <c r="BG23" s="51"/>
      <c r="BH23" s="51"/>
      <c r="BI23" s="51"/>
      <c r="BJ23" s="55"/>
      <c r="BK23" s="55"/>
      <c r="BL23" s="55"/>
      <c r="BM23" s="55"/>
      <c r="BN23" s="55"/>
      <c r="BO23" s="55"/>
      <c r="BP23" s="55"/>
      <c r="BQ23" s="55"/>
    </row>
    <row r="24" spans="1:69" ht="15.75" customHeight="1" x14ac:dyDescent="0.25">
      <c r="A24" s="17">
        <v>25</v>
      </c>
      <c r="B24" s="17">
        <v>31688</v>
      </c>
      <c r="C24" s="16">
        <v>2582847</v>
      </c>
      <c r="D24" s="16">
        <v>2317705</v>
      </c>
      <c r="E24" s="16">
        <v>2240186</v>
      </c>
      <c r="F24" s="16">
        <v>2261999</v>
      </c>
      <c r="G24" s="16">
        <v>2116625</v>
      </c>
      <c r="H24" s="16">
        <v>2025718</v>
      </c>
      <c r="I24" s="16">
        <v>1942633</v>
      </c>
      <c r="J24" s="16">
        <v>1873125</v>
      </c>
      <c r="K24" s="16">
        <v>1791439</v>
      </c>
      <c r="L24" s="16">
        <v>1707776</v>
      </c>
      <c r="M24" s="16">
        <v>1628415</v>
      </c>
      <c r="N24" s="16">
        <v>1577134</v>
      </c>
      <c r="O24" s="16">
        <v>1520194</v>
      </c>
      <c r="P24" s="16">
        <v>1455017</v>
      </c>
      <c r="Q24" s="16">
        <v>1375037</v>
      </c>
      <c r="R24" s="16">
        <v>1310980</v>
      </c>
      <c r="S24" s="16">
        <v>1268044</v>
      </c>
      <c r="T24" s="16">
        <v>1208210</v>
      </c>
      <c r="U24" s="16">
        <v>1190294</v>
      </c>
      <c r="V24" s="16">
        <v>1038133</v>
      </c>
      <c r="W24" s="53">
        <f t="shared" ref="W24:BB24" si="3">V24*$BE24</f>
        <v>980360.7731012922</v>
      </c>
      <c r="X24" s="53">
        <f t="shared" si="3"/>
        <v>925803.57761073322</v>
      </c>
      <c r="Y24" s="53">
        <f t="shared" si="3"/>
        <v>874282.49664195301</v>
      </c>
      <c r="Z24" s="53">
        <f t="shared" si="3"/>
        <v>825628.57005492842</v>
      </c>
      <c r="AA24" s="53">
        <f t="shared" si="3"/>
        <v>779682.2403618457</v>
      </c>
      <c r="AB24" s="53">
        <f t="shared" si="3"/>
        <v>736292.82946836925</v>
      </c>
      <c r="AC24" s="53">
        <f t="shared" si="3"/>
        <v>695318.04453432118</v>
      </c>
      <c r="AD24" s="53">
        <f t="shared" si="3"/>
        <v>656623.51133327407</v>
      </c>
      <c r="AE24" s="53">
        <f t="shared" si="3"/>
        <v>620082.33358073933</v>
      </c>
      <c r="AF24" s="53">
        <f t="shared" si="3"/>
        <v>585574.67678579432</v>
      </c>
      <c r="AG24" s="53">
        <f t="shared" si="3"/>
        <v>552987.37526141701</v>
      </c>
      <c r="AH24" s="53">
        <f t="shared" si="3"/>
        <v>522213.56100474327</v>
      </c>
      <c r="AI24" s="53">
        <f t="shared" si="3"/>
        <v>493152.31323018239</v>
      </c>
      <c r="AJ24" s="53">
        <f t="shared" si="3"/>
        <v>465708.32740605704</v>
      </c>
      <c r="AK24" s="53">
        <f t="shared" si="3"/>
        <v>439791.60270939447</v>
      </c>
      <c r="AL24" s="53">
        <f t="shared" si="3"/>
        <v>415317.14687389607</v>
      </c>
      <c r="AM24" s="53">
        <f t="shared" si="3"/>
        <v>392204.69746315328</v>
      </c>
      <c r="AN24" s="53">
        <f t="shared" si="3"/>
        <v>370378.45865504263</v>
      </c>
      <c r="AO24" s="53">
        <f t="shared" si="3"/>
        <v>349766.85267410107</v>
      </c>
      <c r="AP24" s="53">
        <f t="shared" si="3"/>
        <v>330302.28505671961</v>
      </c>
      <c r="AQ24" s="53">
        <f t="shared" si="3"/>
        <v>311920.92297935719</v>
      </c>
      <c r="AR24" s="53">
        <f t="shared" si="3"/>
        <v>294562.4859228165</v>
      </c>
      <c r="AS24" s="53">
        <f t="shared" si="3"/>
        <v>278170.04798607779</v>
      </c>
      <c r="AT24" s="53">
        <f t="shared" si="3"/>
        <v>262689.85120139207</v>
      </c>
      <c r="AU24" s="53">
        <f t="shared" si="3"/>
        <v>248071.12923841178</v>
      </c>
      <c r="AV24" s="53">
        <f t="shared" si="3"/>
        <v>234265.94091920779</v>
      </c>
      <c r="AW24" s="53">
        <f t="shared" si="3"/>
        <v>221229.01299819598</v>
      </c>
      <c r="AX24" s="53">
        <f t="shared" si="3"/>
        <v>208917.59169137984</v>
      </c>
      <c r="AY24" s="53">
        <f t="shared" si="3"/>
        <v>197291.30246800868</v>
      </c>
      <c r="AZ24" s="53">
        <f t="shared" si="3"/>
        <v>186312.01764484693</v>
      </c>
      <c r="BA24" s="53">
        <f t="shared" si="3"/>
        <v>175943.73134883848</v>
      </c>
      <c r="BB24" s="53">
        <f t="shared" si="3"/>
        <v>166152.44143811378</v>
      </c>
      <c r="BC24" s="129"/>
      <c r="BD24" s="129"/>
      <c r="BE24" s="60">
        <f>AVERAGE(V24/U24, U24/T24, T24/S24, S24/R24)</f>
        <v>0.94434987915931023</v>
      </c>
      <c r="BF24" s="122"/>
      <c r="BG24" s="51"/>
      <c r="BH24" s="51"/>
      <c r="BI24" s="51"/>
      <c r="BJ24" s="51"/>
      <c r="BK24" s="55"/>
      <c r="BL24" s="55"/>
      <c r="BM24" s="55"/>
      <c r="BN24" s="55"/>
      <c r="BO24" s="55"/>
      <c r="BP24" s="55"/>
      <c r="BQ24" s="55"/>
    </row>
    <row r="25" spans="1:69" ht="15.75" customHeight="1" x14ac:dyDescent="0.25">
      <c r="A25" s="17">
        <v>24</v>
      </c>
      <c r="B25" s="17">
        <v>30330</v>
      </c>
      <c r="C25" s="16">
        <v>2666364</v>
      </c>
      <c r="D25" s="16">
        <v>2336595</v>
      </c>
      <c r="E25" s="16">
        <v>2188341</v>
      </c>
      <c r="F25" s="16">
        <v>2149685</v>
      </c>
      <c r="G25" s="16">
        <v>2013204</v>
      </c>
      <c r="H25" s="16">
        <v>1916264</v>
      </c>
      <c r="I25" s="16">
        <v>1838429</v>
      </c>
      <c r="J25" s="16">
        <v>1769657</v>
      </c>
      <c r="K25" s="16">
        <v>1705164</v>
      </c>
      <c r="L25" s="16">
        <v>1629626</v>
      </c>
      <c r="M25" s="16">
        <v>1544555</v>
      </c>
      <c r="N25" s="16">
        <v>1463991</v>
      </c>
      <c r="O25" s="16">
        <v>1457187</v>
      </c>
      <c r="P25" s="16">
        <v>1399525</v>
      </c>
      <c r="Q25" s="16">
        <v>1327908</v>
      </c>
      <c r="R25" s="16">
        <v>1250264</v>
      </c>
      <c r="S25" s="16">
        <v>1195637</v>
      </c>
      <c r="T25" s="16">
        <v>1148664</v>
      </c>
      <c r="U25" s="16">
        <v>1110169</v>
      </c>
      <c r="V25" s="16">
        <v>1090054</v>
      </c>
      <c r="W25" s="16">
        <v>954897</v>
      </c>
      <c r="X25" s="52">
        <f t="shared" ref="X25:BB25" si="4">W25*$BE25</f>
        <v>903592.8139447975</v>
      </c>
      <c r="Y25" s="52">
        <f t="shared" si="4"/>
        <v>855045.07126179826</v>
      </c>
      <c r="Z25" s="52">
        <f t="shared" si="4"/>
        <v>809105.67526244</v>
      </c>
      <c r="AA25" s="52">
        <f t="shared" si="4"/>
        <v>765634.48611640173</v>
      </c>
      <c r="AB25" s="52">
        <f t="shared" si="4"/>
        <v>724498.89334985707</v>
      </c>
      <c r="AC25" s="52">
        <f t="shared" si="4"/>
        <v>685573.41131230816</v>
      </c>
      <c r="AD25" s="52">
        <f t="shared" si="4"/>
        <v>648739.29637795757</v>
      </c>
      <c r="AE25" s="52">
        <f t="shared" si="4"/>
        <v>613884.18471387657</v>
      </c>
      <c r="AF25" s="52">
        <f t="shared" si="4"/>
        <v>580901.74950996763</v>
      </c>
      <c r="AG25" s="52">
        <f t="shared" si="4"/>
        <v>549691.37662508897</v>
      </c>
      <c r="AH25" s="52">
        <f t="shared" si="4"/>
        <v>520157.85765988752</v>
      </c>
      <c r="AI25" s="52">
        <f t="shared" si="4"/>
        <v>492211.09952004789</v>
      </c>
      <c r="AJ25" s="52">
        <f t="shared" si="4"/>
        <v>465765.84958396858</v>
      </c>
      <c r="AK25" s="52">
        <f t="shared" si="4"/>
        <v>440741.43563647958</v>
      </c>
      <c r="AL25" s="52">
        <f t="shared" si="4"/>
        <v>417061.51977526001</v>
      </c>
      <c r="AM25" s="52">
        <f t="shared" si="4"/>
        <v>394653.86553923722</v>
      </c>
      <c r="AN25" s="52">
        <f t="shared" si="4"/>
        <v>373450.11754858494</v>
      </c>
      <c r="AO25" s="52">
        <f t="shared" si="4"/>
        <v>353385.59298410325</v>
      </c>
      <c r="AP25" s="52">
        <f t="shared" si="4"/>
        <v>334399.08426988119</v>
      </c>
      <c r="AQ25" s="52">
        <f t="shared" si="4"/>
        <v>316432.67235731753</v>
      </c>
      <c r="AR25" s="52">
        <f t="shared" si="4"/>
        <v>299431.55004091613</v>
      </c>
      <c r="AS25" s="52">
        <f t="shared" si="4"/>
        <v>283343.85476687417</v>
      </c>
      <c r="AT25" s="52">
        <f t="shared" si="4"/>
        <v>268120.51042443933</v>
      </c>
      <c r="AU25" s="52">
        <f t="shared" si="4"/>
        <v>253715.07763741486</v>
      </c>
      <c r="AV25" s="52">
        <f t="shared" si="4"/>
        <v>240083.61209912112</v>
      </c>
      <c r="AW25" s="52">
        <f t="shared" si="4"/>
        <v>227184.53051865916</v>
      </c>
      <c r="AX25" s="52">
        <f t="shared" si="4"/>
        <v>214978.48376954053</v>
      </c>
      <c r="AY25" s="52">
        <f t="shared" si="4"/>
        <v>203428.23685371835</v>
      </c>
      <c r="AZ25" s="52">
        <f t="shared" si="4"/>
        <v>192498.55531484561</v>
      </c>
      <c r="BA25" s="52">
        <f t="shared" si="4"/>
        <v>182156.09775425997</v>
      </c>
      <c r="BB25" s="52">
        <f t="shared" si="4"/>
        <v>172369.31412181145</v>
      </c>
      <c r="BC25" s="114" t="s">
        <v>31</v>
      </c>
      <c r="BD25" s="114"/>
      <c r="BE25" s="60">
        <f>AVERAGE(W25/V25, V25/U25, U25/T25, T25/S25)</f>
        <v>0.94627254452029641</v>
      </c>
      <c r="BF25" s="123">
        <f t="shared" ref="BF25" si="5">SUM(C25:BB28)</f>
        <v>100804310.14204688</v>
      </c>
      <c r="BG25" s="51"/>
      <c r="BH25" s="51"/>
      <c r="BI25" s="51"/>
      <c r="BJ25" s="51"/>
      <c r="BK25" s="51"/>
      <c r="BL25" s="55"/>
      <c r="BM25" s="55"/>
      <c r="BN25" s="55"/>
      <c r="BO25" s="55"/>
      <c r="BP25" s="55"/>
      <c r="BQ25" s="55"/>
    </row>
    <row r="26" spans="1:69" ht="15.75" customHeight="1" x14ac:dyDescent="0.25">
      <c r="A26" s="17">
        <v>23</v>
      </c>
      <c r="B26" s="17">
        <v>24364</v>
      </c>
      <c r="C26" s="16">
        <v>997727</v>
      </c>
      <c r="D26" s="16">
        <v>908475</v>
      </c>
      <c r="E26" s="16">
        <v>841119</v>
      </c>
      <c r="F26" s="16">
        <v>793707</v>
      </c>
      <c r="G26" s="16">
        <v>752663</v>
      </c>
      <c r="H26" s="16">
        <v>722744</v>
      </c>
      <c r="I26" s="16">
        <v>689548</v>
      </c>
      <c r="J26" s="16">
        <v>659681</v>
      </c>
      <c r="K26" s="16">
        <v>638021</v>
      </c>
      <c r="L26" s="16">
        <v>614793</v>
      </c>
      <c r="M26" s="16">
        <v>586038</v>
      </c>
      <c r="N26" s="16">
        <v>553108</v>
      </c>
      <c r="O26" s="16">
        <v>533481</v>
      </c>
      <c r="P26" s="16">
        <v>522024</v>
      </c>
      <c r="Q26" s="16">
        <v>497135</v>
      </c>
      <c r="R26" s="16">
        <v>475330</v>
      </c>
      <c r="S26" s="16">
        <v>452595</v>
      </c>
      <c r="T26" s="16">
        <v>432684</v>
      </c>
      <c r="U26" s="16">
        <v>418652</v>
      </c>
      <c r="V26" s="16">
        <v>404687</v>
      </c>
      <c r="W26" s="16">
        <v>392728</v>
      </c>
      <c r="X26" s="16">
        <v>343613</v>
      </c>
      <c r="Y26" s="52">
        <f t="shared" ref="Y26:BB26" si="6">X26*$BE26</f>
        <v>324679.96334699763</v>
      </c>
      <c r="Z26" s="52">
        <f t="shared" si="6"/>
        <v>306790.13482903072</v>
      </c>
      <c r="AA26" s="52">
        <f t="shared" si="6"/>
        <v>289886.03379822697</v>
      </c>
      <c r="AB26" s="52">
        <f t="shared" si="6"/>
        <v>273913.34678377956</v>
      </c>
      <c r="AC26" s="52">
        <f t="shared" si="6"/>
        <v>258820.75298085637</v>
      </c>
      <c r="AD26" s="52">
        <f t="shared" si="6"/>
        <v>244559.75935504996</v>
      </c>
      <c r="AE26" s="52">
        <f t="shared" si="6"/>
        <v>231084.54483255345</v>
      </c>
      <c r="AF26" s="52">
        <f t="shared" si="6"/>
        <v>218351.81307543977</v>
      </c>
      <c r="AG26" s="52">
        <f t="shared" si="6"/>
        <v>206320.65336900603</v>
      </c>
      <c r="AH26" s="52">
        <f t="shared" si="6"/>
        <v>194952.40917420902</v>
      </c>
      <c r="AI26" s="52">
        <f t="shared" si="6"/>
        <v>184210.55392284656</v>
      </c>
      <c r="AJ26" s="52">
        <f t="shared" si="6"/>
        <v>174060.57365640983</v>
      </c>
      <c r="AK26" s="52">
        <f t="shared" si="6"/>
        <v>164469.85613152161</v>
      </c>
      <c r="AL26" s="52">
        <f t="shared" si="6"/>
        <v>155407.58603565177</v>
      </c>
      <c r="AM26" s="52">
        <f t="shared" si="6"/>
        <v>146844.6459764351</v>
      </c>
      <c r="AN26" s="52">
        <f t="shared" si="6"/>
        <v>138753.5229264661</v>
      </c>
      <c r="AO26" s="52">
        <f t="shared" si="6"/>
        <v>131108.21982297473</v>
      </c>
      <c r="AP26" s="52">
        <f t="shared" si="6"/>
        <v>123884.17203834996</v>
      </c>
      <c r="AQ26" s="52">
        <f t="shared" si="6"/>
        <v>117058.16845312784</v>
      </c>
      <c r="AR26" s="52">
        <f t="shared" si="6"/>
        <v>110608.27687784869</v>
      </c>
      <c r="AS26" s="52">
        <f t="shared" si="6"/>
        <v>104513.77358416149</v>
      </c>
      <c r="AT26" s="52">
        <f t="shared" si="6"/>
        <v>98755.076718756172</v>
      </c>
      <c r="AU26" s="52">
        <f t="shared" si="6"/>
        <v>93313.683386180666</v>
      </c>
      <c r="AV26" s="52">
        <f t="shared" si="6"/>
        <v>88172.110198387381</v>
      </c>
      <c r="AW26" s="52">
        <f t="shared" si="6"/>
        <v>83313.837099992874</v>
      </c>
      <c r="AX26" s="52">
        <f t="shared" si="6"/>
        <v>78723.254288759214</v>
      </c>
      <c r="AY26" s="52">
        <f t="shared" si="6"/>
        <v>74385.61206075066</v>
      </c>
      <c r="AZ26" s="52">
        <f t="shared" si="6"/>
        <v>70286.973419016489</v>
      </c>
      <c r="BA26" s="52">
        <f t="shared" si="6"/>
        <v>66414.169293529849</v>
      </c>
      <c r="BB26" s="52">
        <f t="shared" si="6"/>
        <v>62754.756228502905</v>
      </c>
      <c r="BC26" s="114"/>
      <c r="BD26" s="114"/>
      <c r="BE26" s="60">
        <f>AVERAGE(X26/W26, W26/V26, V26/U26, U26/T26)</f>
        <v>0.94490011538270569</v>
      </c>
      <c r="BF26" s="122"/>
      <c r="BG26" s="51"/>
      <c r="BH26" s="51"/>
      <c r="BI26" s="51"/>
      <c r="BJ26" s="51"/>
      <c r="BK26" s="51"/>
      <c r="BL26" s="51"/>
      <c r="BM26" s="55"/>
      <c r="BN26" s="55"/>
      <c r="BO26" s="55"/>
      <c r="BP26" s="55"/>
      <c r="BQ26" s="55"/>
    </row>
    <row r="27" spans="1:69" ht="15.75" customHeight="1" x14ac:dyDescent="0.25">
      <c r="A27" s="17">
        <v>22</v>
      </c>
      <c r="B27" s="17">
        <v>21213</v>
      </c>
      <c r="C27" s="16">
        <v>847831</v>
      </c>
      <c r="D27" s="16">
        <v>780892</v>
      </c>
      <c r="E27" s="16">
        <v>745038</v>
      </c>
      <c r="F27" s="16">
        <v>704010</v>
      </c>
      <c r="G27" s="16">
        <v>650094</v>
      </c>
      <c r="H27" s="16">
        <v>631665</v>
      </c>
      <c r="I27" s="16">
        <v>600109</v>
      </c>
      <c r="J27" s="16">
        <v>568105</v>
      </c>
      <c r="K27" s="16">
        <v>546441</v>
      </c>
      <c r="L27" s="16">
        <v>533119</v>
      </c>
      <c r="M27" s="16">
        <v>513418</v>
      </c>
      <c r="N27" s="16">
        <v>492712</v>
      </c>
      <c r="O27" s="16">
        <v>460950</v>
      </c>
      <c r="P27" s="16">
        <v>451929</v>
      </c>
      <c r="Q27" s="16">
        <v>439446</v>
      </c>
      <c r="R27" s="16">
        <v>417824</v>
      </c>
      <c r="S27" s="16">
        <v>405145</v>
      </c>
      <c r="T27" s="16">
        <v>381143</v>
      </c>
      <c r="U27" s="16">
        <v>359176</v>
      </c>
      <c r="V27" s="16">
        <v>350411</v>
      </c>
      <c r="W27" s="16">
        <v>335390</v>
      </c>
      <c r="X27" s="16">
        <v>331084</v>
      </c>
      <c r="Y27" s="16">
        <v>293840</v>
      </c>
      <c r="Z27" s="52">
        <f t="shared" ref="Z27:BB27" si="7">Y27*$BE27</f>
        <v>279691.62179862405</v>
      </c>
      <c r="AA27" s="52">
        <f t="shared" si="7"/>
        <v>266224.48715064168</v>
      </c>
      <c r="AB27" s="52">
        <f t="shared" si="7"/>
        <v>253405.79422022161</v>
      </c>
      <c r="AC27" s="52">
        <f t="shared" si="7"/>
        <v>241204.32057794096</v>
      </c>
      <c r="AD27" s="52">
        <f t="shared" si="7"/>
        <v>229590.34715246235</v>
      </c>
      <c r="AE27" s="52">
        <f t="shared" si="7"/>
        <v>218535.58584393311</v>
      </c>
      <c r="AF27" s="52">
        <f t="shared" si="7"/>
        <v>208013.11062279498</v>
      </c>
      <c r="AG27" s="52">
        <f t="shared" si="7"/>
        <v>197997.291946182</v>
      </c>
      <c r="AH27" s="52">
        <f t="shared" si="7"/>
        <v>188463.73433216475</v>
      </c>
      <c r="AI27" s="52">
        <f t="shared" si="7"/>
        <v>179389.21693979099</v>
      </c>
      <c r="AJ27" s="52">
        <f t="shared" si="7"/>
        <v>170751.63701019378</v>
      </c>
      <c r="AK27" s="52">
        <f t="shared" si="7"/>
        <v>162529.95603100685</v>
      </c>
      <c r="AL27" s="52">
        <f t="shared" si="7"/>
        <v>154704.14849296</v>
      </c>
      <c r="AM27" s="52">
        <f t="shared" si="7"/>
        <v>147255.15311384134</v>
      </c>
      <c r="AN27" s="52">
        <f t="shared" si="7"/>
        <v>140164.82641102298</v>
      </c>
      <c r="AO27" s="52">
        <f t="shared" si="7"/>
        <v>133415.89850946647</v>
      </c>
      <c r="AP27" s="52">
        <f t="shared" si="7"/>
        <v>126991.93107757047</v>
      </c>
      <c r="AQ27" s="52">
        <f t="shared" si="7"/>
        <v>120877.27728840447</v>
      </c>
      <c r="AR27" s="52">
        <f t="shared" si="7"/>
        <v>115057.04370880694</v>
      </c>
      <c r="AS27" s="52">
        <f t="shared" si="7"/>
        <v>109517.05402352092</v>
      </c>
      <c r="AT27" s="52">
        <f t="shared" si="7"/>
        <v>104243.81450601039</v>
      </c>
      <c r="AU27" s="52">
        <f t="shared" si="7"/>
        <v>99224.481151854663</v>
      </c>
      <c r="AV27" s="52">
        <f t="shared" si="7"/>
        <v>94446.828394667958</v>
      </c>
      <c r="AW27" s="52">
        <f t="shared" si="7"/>
        <v>89899.219328345411</v>
      </c>
      <c r="AX27" s="52">
        <f t="shared" si="7"/>
        <v>85570.577363106248</v>
      </c>
      <c r="AY27" s="52">
        <f t="shared" si="7"/>
        <v>81450.359246296663</v>
      </c>
      <c r="AZ27" s="52">
        <f t="shared" si="7"/>
        <v>77528.529382239547</v>
      </c>
      <c r="BA27" s="52">
        <f t="shared" si="7"/>
        <v>73795.535388581731</v>
      </c>
      <c r="BB27" s="52">
        <f t="shared" si="7"/>
        <v>70242.284829601747</v>
      </c>
      <c r="BC27" s="114"/>
      <c r="BD27" s="114"/>
      <c r="BE27" s="60">
        <f>AVERAGE(Y27/X27, X27/W27, W27/V27, V27/U27)</f>
        <v>0.95185006057250221</v>
      </c>
      <c r="BF27" s="122"/>
      <c r="BG27" s="51"/>
      <c r="BH27" s="51"/>
      <c r="BI27" s="51"/>
      <c r="BJ27" s="51"/>
      <c r="BK27" s="51"/>
      <c r="BL27" s="51"/>
      <c r="BM27" s="51"/>
      <c r="BN27" s="55"/>
      <c r="BO27" s="55"/>
      <c r="BP27" s="55"/>
      <c r="BQ27" s="55"/>
    </row>
    <row r="28" spans="1:69" ht="12.5" x14ac:dyDescent="0.25">
      <c r="A28" s="17">
        <v>21</v>
      </c>
      <c r="B28" s="17">
        <v>24263</v>
      </c>
      <c r="C28" s="16">
        <v>989500</v>
      </c>
      <c r="D28" s="16">
        <v>908369</v>
      </c>
      <c r="E28" s="16">
        <v>866051</v>
      </c>
      <c r="F28" s="16">
        <v>829815</v>
      </c>
      <c r="G28" s="16">
        <v>760686</v>
      </c>
      <c r="H28" s="16">
        <v>715586</v>
      </c>
      <c r="I28" s="16">
        <v>695817</v>
      </c>
      <c r="J28" s="16">
        <v>657850</v>
      </c>
      <c r="K28" s="16">
        <v>624804</v>
      </c>
      <c r="L28" s="16">
        <v>605650</v>
      </c>
      <c r="M28" s="16">
        <v>586104</v>
      </c>
      <c r="N28" s="16">
        <v>565678</v>
      </c>
      <c r="O28" s="16">
        <v>540797</v>
      </c>
      <c r="P28" s="16">
        <v>510694</v>
      </c>
      <c r="Q28" s="16">
        <v>494579</v>
      </c>
      <c r="R28" s="16">
        <v>485408</v>
      </c>
      <c r="S28" s="16">
        <v>470980</v>
      </c>
      <c r="T28" s="16">
        <v>449439</v>
      </c>
      <c r="U28" s="16">
        <v>427029</v>
      </c>
      <c r="V28" s="16">
        <v>406035</v>
      </c>
      <c r="W28" s="16">
        <v>395701</v>
      </c>
      <c r="X28" s="16">
        <v>381243</v>
      </c>
      <c r="Y28" s="16">
        <v>371483</v>
      </c>
      <c r="Z28" s="16">
        <v>324229</v>
      </c>
      <c r="AA28" s="52">
        <f t="shared" ref="AA28:BB28" si="8">Z28*$BE28</f>
        <v>306818.48353740602</v>
      </c>
      <c r="AB28" s="52">
        <f t="shared" si="8"/>
        <v>290342.88061892521</v>
      </c>
      <c r="AC28" s="52">
        <f t="shared" si="8"/>
        <v>274751.98806208186</v>
      </c>
      <c r="AD28" s="52">
        <f t="shared" si="8"/>
        <v>259998.29850536332</v>
      </c>
      <c r="AE28" s="52">
        <f t="shared" si="8"/>
        <v>246036.85564746335</v>
      </c>
      <c r="AF28" s="52">
        <f t="shared" si="8"/>
        <v>232825.11725991932</v>
      </c>
      <c r="AG28" s="52">
        <f t="shared" si="8"/>
        <v>220322.82555572508</v>
      </c>
      <c r="AH28" s="52">
        <f t="shared" si="8"/>
        <v>208491.88451891724</v>
      </c>
      <c r="AI28" s="52">
        <f t="shared" si="8"/>
        <v>197296.24382134285</v>
      </c>
      <c r="AJ28" s="52">
        <f t="shared" si="8"/>
        <v>186701.78897288869</v>
      </c>
      <c r="AK28" s="52">
        <f t="shared" si="8"/>
        <v>176676.23737044653</v>
      </c>
      <c r="AL28" s="52">
        <f t="shared" si="8"/>
        <v>167189.03992886259</v>
      </c>
      <c r="AM28" s="52">
        <f t="shared" si="8"/>
        <v>158211.28799412897</v>
      </c>
      <c r="AN28" s="52">
        <f t="shared" si="8"/>
        <v>149715.62525516984</v>
      </c>
      <c r="AO28" s="52">
        <f t="shared" si="8"/>
        <v>141676.16438580689</v>
      </c>
      <c r="AP28" s="52">
        <f t="shared" si="8"/>
        <v>134068.40816290191</v>
      </c>
      <c r="AQ28" s="52">
        <f t="shared" si="8"/>
        <v>126869.17482031388</v>
      </c>
      <c r="AR28" s="52">
        <f t="shared" si="8"/>
        <v>120056.5274112148</v>
      </c>
      <c r="AS28" s="52">
        <f t="shared" si="8"/>
        <v>113609.70696352252</v>
      </c>
      <c r="AT28" s="52">
        <f t="shared" si="8"/>
        <v>107509.06922476724</v>
      </c>
      <c r="AU28" s="52">
        <f t="shared" si="8"/>
        <v>101736.02480364524</v>
      </c>
      <c r="AV28" s="52">
        <f t="shared" si="8"/>
        <v>96272.982525864005</v>
      </c>
      <c r="AW28" s="52">
        <f t="shared" si="8"/>
        <v>91103.295831676936</v>
      </c>
      <c r="AX28" s="52">
        <f t="shared" si="8"/>
        <v>86211.212051774521</v>
      </c>
      <c r="AY28" s="52">
        <f t="shared" si="8"/>
        <v>81581.824406969157</v>
      </c>
      <c r="AZ28" s="52">
        <f t="shared" si="8"/>
        <v>77201.026585410975</v>
      </c>
      <c r="BA28" s="52">
        <f t="shared" si="8"/>
        <v>73055.469758925829</v>
      </c>
      <c r="BB28" s="52">
        <f t="shared" si="8"/>
        <v>69132.521907498856</v>
      </c>
      <c r="BC28" s="114"/>
      <c r="BD28" s="114"/>
      <c r="BE28" s="60">
        <f>AVERAGE(Z28/Y28, Y28/X28, X28/W28, W28/V28)</f>
        <v>0.94630179144186988</v>
      </c>
      <c r="BF28" s="122"/>
      <c r="BG28" s="51"/>
      <c r="BH28" s="51"/>
      <c r="BI28" s="51"/>
      <c r="BJ28" s="51"/>
      <c r="BK28" s="51"/>
      <c r="BL28" s="51"/>
      <c r="BM28" s="51"/>
      <c r="BN28" s="51"/>
      <c r="BO28" s="55"/>
      <c r="BP28" s="55"/>
      <c r="BQ28" s="55"/>
    </row>
    <row r="29" spans="1:69" ht="12.5" x14ac:dyDescent="0.25">
      <c r="A29" s="17">
        <v>20</v>
      </c>
      <c r="B29" s="17">
        <v>24753</v>
      </c>
      <c r="C29" s="16">
        <v>1057971</v>
      </c>
      <c r="D29" s="16">
        <v>963239</v>
      </c>
      <c r="E29" s="16">
        <v>923316</v>
      </c>
      <c r="F29" s="16">
        <v>904657</v>
      </c>
      <c r="G29" s="16">
        <v>845057</v>
      </c>
      <c r="H29" s="16">
        <v>778203</v>
      </c>
      <c r="I29" s="16">
        <v>736890</v>
      </c>
      <c r="J29" s="16">
        <v>723775</v>
      </c>
      <c r="K29" s="16">
        <v>681586</v>
      </c>
      <c r="L29" s="16">
        <v>647521</v>
      </c>
      <c r="M29" s="16">
        <v>624163</v>
      </c>
      <c r="N29" s="16">
        <v>604494</v>
      </c>
      <c r="O29" s="16">
        <v>584807</v>
      </c>
      <c r="P29" s="16">
        <v>558458</v>
      </c>
      <c r="Q29" s="16">
        <v>531777</v>
      </c>
      <c r="R29" s="16">
        <v>506637</v>
      </c>
      <c r="S29" s="16">
        <v>497948</v>
      </c>
      <c r="T29" s="16">
        <v>479403</v>
      </c>
      <c r="U29" s="16">
        <v>457826</v>
      </c>
      <c r="V29" s="16">
        <v>439217</v>
      </c>
      <c r="W29" s="16">
        <v>413877</v>
      </c>
      <c r="X29" s="16">
        <v>398781</v>
      </c>
      <c r="Y29" s="16">
        <v>386384</v>
      </c>
      <c r="Z29" s="16">
        <v>376339</v>
      </c>
      <c r="AA29" s="16">
        <v>331654</v>
      </c>
      <c r="AB29" s="50">
        <f t="shared" ref="AB29:BB29" si="9">AA29*$BE29</f>
        <v>314051.85118526517</v>
      </c>
      <c r="AC29" s="50">
        <f t="shared" si="9"/>
        <v>297383.91586681281</v>
      </c>
      <c r="AD29" s="50">
        <f t="shared" si="9"/>
        <v>281600.61175410432</v>
      </c>
      <c r="AE29" s="50">
        <f t="shared" si="9"/>
        <v>266654.98807877972</v>
      </c>
      <c r="AF29" s="50">
        <f t="shared" si="9"/>
        <v>252502.58592969051</v>
      </c>
      <c r="AG29" s="50">
        <f t="shared" si="9"/>
        <v>239101.30600048782</v>
      </c>
      <c r="AH29" s="50">
        <f t="shared" si="9"/>
        <v>226411.28335635253</v>
      </c>
      <c r="AI29" s="50">
        <f t="shared" si="9"/>
        <v>214394.76884733525</v>
      </c>
      <c r="AJ29" s="50">
        <f t="shared" si="9"/>
        <v>203016.01681554466</v>
      </c>
      <c r="AK29" s="50">
        <f t="shared" si="9"/>
        <v>192241.17876214584</v>
      </c>
      <c r="AL29" s="50">
        <f t="shared" si="9"/>
        <v>182038.20265785843</v>
      </c>
      <c r="AM29" s="50">
        <f t="shared" si="9"/>
        <v>172376.73759743254</v>
      </c>
      <c r="AN29" s="50">
        <f t="shared" si="9"/>
        <v>163228.04351447709</v>
      </c>
      <c r="AO29" s="50">
        <f t="shared" si="9"/>
        <v>154564.90568806813</v>
      </c>
      <c r="AP29" s="50">
        <f t="shared" si="9"/>
        <v>146361.55378681913</v>
      </c>
      <c r="AQ29" s="50">
        <f t="shared" si="9"/>
        <v>138593.58520959283</v>
      </c>
      <c r="AR29" s="50">
        <f t="shared" si="9"/>
        <v>131237.89249481511</v>
      </c>
      <c r="AS29" s="50">
        <f t="shared" si="9"/>
        <v>124272.59458245491</v>
      </c>
      <c r="AT29" s="50">
        <f t="shared" si="9"/>
        <v>117676.97172419424</v>
      </c>
      <c r="AU29" s="50">
        <f t="shared" si="9"/>
        <v>111431.40384816498</v>
      </c>
      <c r="AV29" s="50">
        <f t="shared" si="9"/>
        <v>105517.3121949052</v>
      </c>
      <c r="AW29" s="50">
        <f t="shared" si="9"/>
        <v>99917.104050919123</v>
      </c>
      <c r="AX29" s="50">
        <f t="shared" si="9"/>
        <v>94614.120415438694</v>
      </c>
      <c r="AY29" s="50">
        <f t="shared" si="9"/>
        <v>89592.586444710789</v>
      </c>
      <c r="AZ29" s="50">
        <f t="shared" si="9"/>
        <v>84837.56452639593</v>
      </c>
      <c r="BA29" s="50">
        <f t="shared" si="9"/>
        <v>80334.909844488604</v>
      </c>
      <c r="BB29" s="50">
        <f t="shared" si="9"/>
        <v>76071.228302577467</v>
      </c>
      <c r="BC29" s="114" t="s">
        <v>30</v>
      </c>
      <c r="BD29" s="114"/>
      <c r="BE29" s="60">
        <f>AVERAGE(AA29/Z29, Z29/Y29, Y29/X29, X29/W29)</f>
        <v>0.94692616758810433</v>
      </c>
      <c r="BF29" s="123">
        <f>SUM(C29:BB32)</f>
        <v>54432397.747243389</v>
      </c>
      <c r="BG29" s="51"/>
      <c r="BH29" s="51"/>
      <c r="BI29" s="51"/>
      <c r="BJ29" s="51"/>
      <c r="BK29" s="51"/>
      <c r="BL29" s="51"/>
      <c r="BM29" s="51"/>
      <c r="BN29" s="51"/>
      <c r="BO29" s="51"/>
      <c r="BP29" s="55"/>
      <c r="BQ29" s="55"/>
    </row>
    <row r="30" spans="1:69" ht="12.5" x14ac:dyDescent="0.25">
      <c r="A30" s="17">
        <v>19</v>
      </c>
      <c r="B30" s="17">
        <v>18337</v>
      </c>
      <c r="C30" s="16">
        <v>727217</v>
      </c>
      <c r="D30" s="16">
        <v>664548</v>
      </c>
      <c r="E30" s="16">
        <v>650337</v>
      </c>
      <c r="F30" s="16">
        <v>651175</v>
      </c>
      <c r="G30" s="16">
        <v>605819</v>
      </c>
      <c r="H30" s="16">
        <v>570434</v>
      </c>
      <c r="I30" s="16">
        <v>531251</v>
      </c>
      <c r="J30" s="16">
        <v>503798</v>
      </c>
      <c r="K30" s="16">
        <v>489773</v>
      </c>
      <c r="L30" s="16">
        <v>471437</v>
      </c>
      <c r="M30" s="16">
        <v>445526</v>
      </c>
      <c r="N30" s="16">
        <v>432927</v>
      </c>
      <c r="O30" s="16">
        <v>418877</v>
      </c>
      <c r="P30" s="16">
        <v>399437</v>
      </c>
      <c r="Q30" s="16">
        <v>383154</v>
      </c>
      <c r="R30" s="16">
        <v>367219</v>
      </c>
      <c r="S30" s="16">
        <v>352087</v>
      </c>
      <c r="T30" s="16">
        <v>349927</v>
      </c>
      <c r="U30" s="16">
        <v>330135</v>
      </c>
      <c r="V30" s="16">
        <v>320131</v>
      </c>
      <c r="W30" s="16">
        <v>301688</v>
      </c>
      <c r="X30" s="16">
        <v>285169</v>
      </c>
      <c r="Y30" s="16">
        <v>275250</v>
      </c>
      <c r="Z30" s="16">
        <v>268017</v>
      </c>
      <c r="AA30" s="16">
        <v>255929</v>
      </c>
      <c r="AB30" s="16">
        <v>227021</v>
      </c>
      <c r="AC30" s="50">
        <f t="shared" ref="AC30:BB30" si="10">AB30*$BE30</f>
        <v>214585.03759272015</v>
      </c>
      <c r="AD30" s="50">
        <f t="shared" si="10"/>
        <v>202830.30362243633</v>
      </c>
      <c r="AE30" s="50">
        <f t="shared" si="10"/>
        <v>191719.48113946879</v>
      </c>
      <c r="AF30" s="50">
        <f t="shared" si="10"/>
        <v>181217.29737588024</v>
      </c>
      <c r="AG30" s="50">
        <f t="shared" si="10"/>
        <v>171290.41176743299</v>
      </c>
      <c r="AH30" s="50">
        <f t="shared" si="10"/>
        <v>161907.31010958069</v>
      </c>
      <c r="AI30" s="50">
        <f t="shared" si="10"/>
        <v>153038.20451147942</v>
      </c>
      <c r="AJ30" s="50">
        <f t="shared" si="10"/>
        <v>144654.93883040865</v>
      </c>
      <c r="AK30" s="50">
        <f t="shared" si="10"/>
        <v>136730.89928639145</v>
      </c>
      <c r="AL30" s="50">
        <f t="shared" si="10"/>
        <v>129240.92997324803</v>
      </c>
      <c r="AM30" s="50">
        <f t="shared" si="10"/>
        <v>122161.25299786161</v>
      </c>
      <c r="AN30" s="50">
        <f t="shared" si="10"/>
        <v>115469.39299412798</v>
      </c>
      <c r="AO30" s="50">
        <f t="shared" si="10"/>
        <v>109144.10577194854</v>
      </c>
      <c r="AP30" s="50">
        <f t="shared" si="10"/>
        <v>103165.31087475344</v>
      </c>
      <c r="AQ30" s="50">
        <f t="shared" si="10"/>
        <v>97514.027831450076</v>
      </c>
      <c r="AR30" s="50">
        <f t="shared" si="10"/>
        <v>92172.315900420101</v>
      </c>
      <c r="AS30" s="50">
        <f t="shared" si="10"/>
        <v>87123.21711427455</v>
      </c>
      <c r="AT30" s="50">
        <f t="shared" si="10"/>
        <v>82350.702444555005</v>
      </c>
      <c r="AU30" s="50">
        <f t="shared" si="10"/>
        <v>77839.620915473657</v>
      </c>
      <c r="AV30" s="50">
        <f t="shared" si="10"/>
        <v>73575.651505147092</v>
      </c>
      <c r="AW30" s="50">
        <f t="shared" si="10"/>
        <v>69545.257681627976</v>
      </c>
      <c r="AX30" s="50">
        <f t="shared" si="10"/>
        <v>65735.644429403226</v>
      </c>
      <c r="AY30" s="50">
        <f t="shared" si="10"/>
        <v>62134.717629933686</v>
      </c>
      <c r="AZ30" s="50">
        <f t="shared" si="10"/>
        <v>58731.045667283513</v>
      </c>
      <c r="BA30" s="50">
        <f t="shared" si="10"/>
        <v>55513.823136951192</v>
      </c>
      <c r="BB30" s="50">
        <f t="shared" si="10"/>
        <v>52472.836542691155</v>
      </c>
      <c r="BC30" s="114"/>
      <c r="BD30" s="114"/>
      <c r="BE30" s="60">
        <f>AVERAGE(AB30/AA30, AA30/Z30, Z30/Y30, Y30/X30)</f>
        <v>0.94522109228978879</v>
      </c>
      <c r="BF30" s="122"/>
      <c r="BG30" s="51"/>
      <c r="BH30" s="51"/>
      <c r="BI30" s="51"/>
      <c r="BJ30" s="51"/>
      <c r="BK30" s="51"/>
      <c r="BL30" s="51"/>
      <c r="BM30" s="51"/>
      <c r="BN30" s="51"/>
      <c r="BO30" s="51"/>
      <c r="BP30" s="51"/>
      <c r="BQ30" s="55"/>
    </row>
    <row r="31" spans="1:69" ht="12.5" x14ac:dyDescent="0.25">
      <c r="A31" s="17">
        <v>18</v>
      </c>
      <c r="B31" s="17">
        <v>14603</v>
      </c>
      <c r="C31" s="16">
        <v>551474</v>
      </c>
      <c r="D31" s="16">
        <v>502221</v>
      </c>
      <c r="E31" s="16">
        <v>468818</v>
      </c>
      <c r="F31" s="16">
        <v>460984</v>
      </c>
      <c r="G31" s="16">
        <v>425669</v>
      </c>
      <c r="H31" s="16">
        <v>402012</v>
      </c>
      <c r="I31" s="16">
        <v>379652</v>
      </c>
      <c r="J31" s="16">
        <v>349683</v>
      </c>
      <c r="K31" s="16">
        <v>332402</v>
      </c>
      <c r="L31" s="16">
        <v>328454</v>
      </c>
      <c r="M31" s="16">
        <v>312783</v>
      </c>
      <c r="N31" s="16">
        <v>298221</v>
      </c>
      <c r="O31" s="16">
        <v>286170</v>
      </c>
      <c r="P31" s="16">
        <v>273956</v>
      </c>
      <c r="Q31" s="16">
        <v>266951</v>
      </c>
      <c r="R31" s="16">
        <v>260436</v>
      </c>
      <c r="S31" s="16">
        <v>243431</v>
      </c>
      <c r="T31" s="16">
        <v>235333</v>
      </c>
      <c r="U31" s="16">
        <v>233011</v>
      </c>
      <c r="V31" s="16">
        <v>222794</v>
      </c>
      <c r="W31" s="16">
        <v>213366</v>
      </c>
      <c r="X31" s="16">
        <v>204305</v>
      </c>
      <c r="Y31" s="16">
        <v>191973</v>
      </c>
      <c r="Z31" s="16">
        <v>185772</v>
      </c>
      <c r="AA31" s="16">
        <v>179948</v>
      </c>
      <c r="AB31" s="16">
        <v>174450</v>
      </c>
      <c r="AC31" s="16">
        <v>152824</v>
      </c>
      <c r="AD31" s="50">
        <f t="shared" ref="AD31:BB31" si="11">AC31*$BE31</f>
        <v>144488.53209522387</v>
      </c>
      <c r="AE31" s="50">
        <f t="shared" si="11"/>
        <v>136607.70498764943</v>
      </c>
      <c r="AF31" s="50">
        <f t="shared" si="11"/>
        <v>129156.72123856762</v>
      </c>
      <c r="AG31" s="50">
        <f t="shared" si="11"/>
        <v>122112.13593409845</v>
      </c>
      <c r="AH31" s="50">
        <f t="shared" si="11"/>
        <v>115451.78291453124</v>
      </c>
      <c r="AI31" s="50">
        <f t="shared" si="11"/>
        <v>109154.70502733253</v>
      </c>
      <c r="AJ31" s="50">
        <f t="shared" si="11"/>
        <v>103201.08818435867</v>
      </c>
      <c r="AK31" s="50">
        <f t="shared" si="11"/>
        <v>97572.199015781138</v>
      </c>
      <c r="AL31" s="50">
        <f t="shared" si="11"/>
        <v>92250.325924548917</v>
      </c>
      <c r="AM31" s="50">
        <f t="shared" si="11"/>
        <v>87218.723355912996</v>
      </c>
      <c r="AN31" s="50">
        <f t="shared" si="11"/>
        <v>82461.559106653964</v>
      </c>
      <c r="AO31" s="50">
        <f t="shared" si="11"/>
        <v>77963.864508218408</v>
      </c>
      <c r="AP31" s="50">
        <f t="shared" si="11"/>
        <v>73711.487327012772</v>
      </c>
      <c r="AQ31" s="50">
        <f t="shared" si="11"/>
        <v>69691.047233652906</v>
      </c>
      <c r="AR31" s="50">
        <f t="shared" si="11"/>
        <v>65889.893701051013</v>
      </c>
      <c r="AS31" s="50">
        <f t="shared" si="11"/>
        <v>62296.066198864042</v>
      </c>
      <c r="AT31" s="50">
        <f t="shared" si="11"/>
        <v>58898.256559053276</v>
      </c>
      <c r="AU31" s="50">
        <f t="shared" si="11"/>
        <v>55685.773394136384</v>
      </c>
      <c r="AV31" s="50">
        <f t="shared" si="11"/>
        <v>52648.508456172058</v>
      </c>
      <c r="AW31" s="50">
        <f t="shared" si="11"/>
        <v>49776.904830623993</v>
      </c>
      <c r="AX31" s="50">
        <f t="shared" si="11"/>
        <v>47061.926865024594</v>
      </c>
      <c r="AY31" s="50">
        <f t="shared" si="11"/>
        <v>44495.031737817255</v>
      </c>
      <c r="AZ31" s="50">
        <f t="shared" si="11"/>
        <v>42068.14257791717</v>
      </c>
      <c r="BA31" s="50">
        <f t="shared" si="11"/>
        <v>39773.623050409871</v>
      </c>
      <c r="BB31" s="50">
        <f t="shared" si="11"/>
        <v>37604.253328420156</v>
      </c>
      <c r="BC31" s="114"/>
      <c r="BD31" s="114"/>
      <c r="BE31" s="60">
        <f>AVERAGE(AC31/AB31, AB31/AA31, AA31/Z31, Z31/Y31)</f>
        <v>0.94545707542809942</v>
      </c>
      <c r="BF31" s="122"/>
      <c r="BG31" s="51"/>
      <c r="BH31" s="51"/>
      <c r="BI31" s="51"/>
      <c r="BJ31" s="51"/>
      <c r="BK31" s="51"/>
      <c r="BL31" s="51"/>
      <c r="BM31" s="51"/>
      <c r="BN31" s="51"/>
      <c r="BO31" s="51"/>
      <c r="BP31" s="51"/>
      <c r="BQ31" s="51"/>
    </row>
    <row r="32" spans="1:69" ht="12.5" x14ac:dyDescent="0.25">
      <c r="A32" s="17">
        <v>17</v>
      </c>
      <c r="B32" s="17">
        <v>14565</v>
      </c>
      <c r="C32" s="16">
        <v>559303</v>
      </c>
      <c r="D32" s="16">
        <v>498926</v>
      </c>
      <c r="E32" s="16">
        <v>473536</v>
      </c>
      <c r="F32" s="16">
        <v>449956</v>
      </c>
      <c r="G32" s="16">
        <v>420098</v>
      </c>
      <c r="H32" s="16">
        <v>400236</v>
      </c>
      <c r="I32" s="16">
        <v>386340</v>
      </c>
      <c r="J32" s="16">
        <v>360949</v>
      </c>
      <c r="K32" s="16">
        <v>331890</v>
      </c>
      <c r="L32" s="16">
        <v>315996</v>
      </c>
      <c r="M32" s="16">
        <v>311187</v>
      </c>
      <c r="N32" s="16">
        <v>294981</v>
      </c>
      <c r="O32" s="16">
        <v>284107</v>
      </c>
      <c r="P32" s="16">
        <v>273205</v>
      </c>
      <c r="Q32" s="16">
        <v>264674</v>
      </c>
      <c r="R32" s="16">
        <v>259607</v>
      </c>
      <c r="S32" s="16">
        <v>244870</v>
      </c>
      <c r="T32" s="16">
        <v>231940</v>
      </c>
      <c r="U32" s="16">
        <v>227463</v>
      </c>
      <c r="V32" s="16">
        <v>222050</v>
      </c>
      <c r="W32" s="16">
        <v>213364</v>
      </c>
      <c r="X32" s="16">
        <v>201930</v>
      </c>
      <c r="Y32" s="16">
        <v>194233</v>
      </c>
      <c r="Z32" s="16">
        <v>186588</v>
      </c>
      <c r="AA32" s="16">
        <v>180918</v>
      </c>
      <c r="AB32" s="16">
        <v>173429</v>
      </c>
      <c r="AC32" s="16">
        <v>167653</v>
      </c>
      <c r="AD32" s="16">
        <v>144071</v>
      </c>
      <c r="AE32" s="50">
        <f t="shared" ref="AE32:BB32" si="12">AD32*$BE32</f>
        <v>135219.76320362531</v>
      </c>
      <c r="AF32" s="50">
        <f t="shared" si="12"/>
        <v>126912.31657199921</v>
      </c>
      <c r="AG32" s="50">
        <f t="shared" si="12"/>
        <v>119115.25146968692</v>
      </c>
      <c r="AH32" s="50">
        <f t="shared" si="12"/>
        <v>111797.21177524516</v>
      </c>
      <c r="AI32" s="50">
        <f t="shared" si="12"/>
        <v>104928.76778167849</v>
      </c>
      <c r="AJ32" s="50">
        <f t="shared" si="12"/>
        <v>98482.297844026572</v>
      </c>
      <c r="AK32" s="50">
        <f t="shared" si="12"/>
        <v>92431.877298125037</v>
      </c>
      <c r="AL32" s="50">
        <f t="shared" si="12"/>
        <v>86753.174203823233</v>
      </c>
      <c r="AM32" s="50">
        <f t="shared" si="12"/>
        <v>81423.351493387512</v>
      </c>
      <c r="AN32" s="50">
        <f t="shared" si="12"/>
        <v>76420.975131576866</v>
      </c>
      <c r="AO32" s="50">
        <f t="shared" si="12"/>
        <v>71725.927918054032</v>
      </c>
      <c r="AP32" s="50">
        <f t="shared" si="12"/>
        <v>67319.328585486073</v>
      </c>
      <c r="AQ32" s="50">
        <f t="shared" si="12"/>
        <v>63183.455867985023</v>
      </c>
      <c r="AR32" s="50">
        <f t="shared" si="12"/>
        <v>59301.677234527728</v>
      </c>
      <c r="AS32" s="50">
        <f t="shared" si="12"/>
        <v>55658.382000754187</v>
      </c>
      <c r="AT32" s="50">
        <f t="shared" si="12"/>
        <v>52238.918550151669</v>
      </c>
      <c r="AU32" s="50">
        <f t="shared" si="12"/>
        <v>49029.53541215774</v>
      </c>
      <c r="AV32" s="50">
        <f t="shared" si="12"/>
        <v>46017.325960226073</v>
      </c>
      <c r="AW32" s="50">
        <f t="shared" si="12"/>
        <v>43190.176507456803</v>
      </c>
      <c r="AX32" s="50">
        <f t="shared" si="12"/>
        <v>40536.717591056418</v>
      </c>
      <c r="AY32" s="50">
        <f t="shared" si="12"/>
        <v>38046.278249716328</v>
      </c>
      <c r="AZ32" s="50">
        <f t="shared" si="12"/>
        <v>35708.843110035203</v>
      </c>
      <c r="BA32" s="50">
        <f t="shared" si="12"/>
        <v>33515.01210940694</v>
      </c>
      <c r="BB32" s="50">
        <f t="shared" si="12"/>
        <v>31455.962693398676</v>
      </c>
      <c r="BC32" s="114"/>
      <c r="BD32" s="114"/>
      <c r="BE32" s="60">
        <f>AVERAGE(AD32/AC32, AC32/AB32, AB32/AA32, AA32/Z32)</f>
        <v>0.93856336947494845</v>
      </c>
      <c r="BF32" s="122"/>
      <c r="BG32" s="51"/>
      <c r="BH32" s="51"/>
      <c r="BI32" s="51"/>
      <c r="BJ32" s="51"/>
      <c r="BK32" s="51"/>
      <c r="BL32" s="51"/>
      <c r="BM32" s="51"/>
      <c r="BN32" s="51"/>
      <c r="BO32" s="51"/>
      <c r="BP32" s="51"/>
      <c r="BQ32" s="51"/>
    </row>
    <row r="33" spans="1:57" ht="12.5" x14ac:dyDescent="0.25">
      <c r="A33" s="17">
        <v>16</v>
      </c>
      <c r="B33" s="17">
        <v>14336</v>
      </c>
      <c r="C33" s="16">
        <v>558535</v>
      </c>
      <c r="D33" s="16">
        <v>497887</v>
      </c>
      <c r="E33" s="16">
        <v>473921</v>
      </c>
      <c r="F33" s="16">
        <v>463124</v>
      </c>
      <c r="G33" s="16">
        <v>420681</v>
      </c>
      <c r="H33" s="16">
        <v>398008</v>
      </c>
      <c r="I33" s="16">
        <v>382275</v>
      </c>
      <c r="J33" s="16">
        <v>369836</v>
      </c>
      <c r="K33" s="16">
        <v>348550</v>
      </c>
      <c r="L33" s="16">
        <v>322040</v>
      </c>
      <c r="M33" s="16">
        <v>304837</v>
      </c>
      <c r="N33" s="16">
        <v>296907</v>
      </c>
      <c r="O33" s="16">
        <v>289931</v>
      </c>
      <c r="P33" s="16">
        <v>278857</v>
      </c>
      <c r="Q33" s="16">
        <v>267118</v>
      </c>
      <c r="R33" s="16">
        <v>258256</v>
      </c>
      <c r="S33" s="16">
        <v>253800</v>
      </c>
      <c r="T33" s="16">
        <v>240909</v>
      </c>
      <c r="U33" s="16">
        <v>224995</v>
      </c>
      <c r="V33" s="16">
        <v>215895</v>
      </c>
      <c r="W33" s="16">
        <v>214571</v>
      </c>
      <c r="X33" s="16">
        <v>208122</v>
      </c>
      <c r="Y33" s="16">
        <v>197851</v>
      </c>
      <c r="Z33" s="16">
        <v>187924</v>
      </c>
      <c r="AA33" s="16">
        <v>174817</v>
      </c>
      <c r="AB33" s="16">
        <v>170870</v>
      </c>
      <c r="AC33" s="16">
        <v>166443</v>
      </c>
      <c r="AD33" s="16">
        <v>161600</v>
      </c>
      <c r="AE33" s="16">
        <v>139586</v>
      </c>
      <c r="AF33" s="16"/>
      <c r="AG33" s="16"/>
      <c r="AH33" s="16"/>
      <c r="AI33" s="16"/>
      <c r="AJ33" s="16"/>
      <c r="AK33" s="16"/>
      <c r="AL33" s="16"/>
      <c r="AM33" s="16"/>
      <c r="AN33" s="16"/>
      <c r="AO33" s="16"/>
      <c r="AP33" s="16"/>
      <c r="AQ33" s="16"/>
      <c r="AR33" s="16"/>
      <c r="AS33" s="16"/>
      <c r="AT33" s="16"/>
      <c r="AU33" s="5"/>
      <c r="AV33" s="5"/>
      <c r="AW33" s="5"/>
      <c r="AX33" s="5"/>
      <c r="AY33" s="5"/>
      <c r="AZ33" s="5"/>
      <c r="BA33" s="5"/>
      <c r="BE33" t="s">
        <v>44</v>
      </c>
    </row>
    <row r="34" spans="1:57" ht="12.5" x14ac:dyDescent="0.25">
      <c r="A34" s="17">
        <v>15</v>
      </c>
      <c r="B34" s="17">
        <v>27968</v>
      </c>
      <c r="C34" s="16">
        <v>915670</v>
      </c>
      <c r="D34" s="16">
        <v>1078603</v>
      </c>
      <c r="E34" s="16">
        <v>1319055</v>
      </c>
      <c r="F34" s="16">
        <v>1447150</v>
      </c>
      <c r="G34" s="16">
        <v>1341794</v>
      </c>
      <c r="H34" s="16">
        <v>1240229</v>
      </c>
      <c r="I34" s="16">
        <v>1169293</v>
      </c>
      <c r="J34" s="16">
        <v>1123668</v>
      </c>
      <c r="K34" s="16">
        <v>1075034</v>
      </c>
      <c r="L34" s="16">
        <v>1023661</v>
      </c>
      <c r="M34" s="16">
        <v>970779</v>
      </c>
      <c r="N34" s="16">
        <v>931760</v>
      </c>
      <c r="O34" s="16">
        <v>895324</v>
      </c>
      <c r="P34" s="16">
        <v>853554</v>
      </c>
      <c r="Q34" s="16">
        <v>806726</v>
      </c>
      <c r="R34" s="16">
        <v>780589</v>
      </c>
      <c r="S34" s="16">
        <v>760059</v>
      </c>
      <c r="T34" s="16">
        <v>743921</v>
      </c>
      <c r="U34" s="16">
        <v>706362</v>
      </c>
      <c r="V34" s="16">
        <v>675391</v>
      </c>
      <c r="W34" s="16">
        <v>647264</v>
      </c>
      <c r="X34" s="16">
        <v>634189</v>
      </c>
      <c r="Y34" s="16">
        <v>613863</v>
      </c>
      <c r="Z34" s="16">
        <v>589295</v>
      </c>
      <c r="AA34" s="16">
        <v>562654</v>
      </c>
      <c r="AB34" s="16">
        <v>535611</v>
      </c>
      <c r="AC34" s="16">
        <v>520399</v>
      </c>
      <c r="AD34" s="16">
        <v>505670</v>
      </c>
      <c r="AE34" s="16">
        <v>491405</v>
      </c>
      <c r="AF34" s="16">
        <v>455939</v>
      </c>
      <c r="AG34" s="16"/>
      <c r="AH34" s="16"/>
      <c r="AI34" s="16"/>
      <c r="AJ34" s="16"/>
      <c r="AK34" s="16"/>
      <c r="AL34" s="16"/>
      <c r="AM34" s="16"/>
      <c r="AN34" s="16"/>
      <c r="AO34" s="16"/>
      <c r="AP34" s="16"/>
      <c r="AQ34" s="16"/>
      <c r="AR34" s="16"/>
      <c r="AS34" s="16"/>
      <c r="AT34" s="16"/>
      <c r="AU34" s="5"/>
      <c r="AV34" s="5"/>
      <c r="AW34" s="5"/>
      <c r="AX34" s="5"/>
      <c r="AY34" s="5"/>
      <c r="AZ34" s="5"/>
      <c r="BA34" s="5"/>
    </row>
    <row r="35" spans="1:57" ht="12.5" x14ac:dyDescent="0.25">
      <c r="A35" s="17">
        <v>14</v>
      </c>
      <c r="B35" s="17">
        <v>14311</v>
      </c>
      <c r="C35" s="16">
        <v>633857</v>
      </c>
      <c r="D35" s="16">
        <v>572185</v>
      </c>
      <c r="E35" s="16">
        <v>545443</v>
      </c>
      <c r="F35" s="16">
        <v>533125</v>
      </c>
      <c r="G35" s="16">
        <v>501227</v>
      </c>
      <c r="H35" s="16">
        <v>478153</v>
      </c>
      <c r="I35" s="16">
        <v>450210</v>
      </c>
      <c r="J35" s="16">
        <v>431164</v>
      </c>
      <c r="K35" s="16">
        <v>417093</v>
      </c>
      <c r="L35" s="16">
        <v>401125</v>
      </c>
      <c r="M35" s="16">
        <v>384871</v>
      </c>
      <c r="N35" s="16">
        <v>360020</v>
      </c>
      <c r="O35" s="16">
        <v>348219</v>
      </c>
      <c r="P35" s="16">
        <v>332398</v>
      </c>
      <c r="Q35" s="16">
        <v>319292</v>
      </c>
      <c r="R35" s="16">
        <v>309458</v>
      </c>
      <c r="S35" s="16">
        <v>299993</v>
      </c>
      <c r="T35" s="16">
        <v>292443</v>
      </c>
      <c r="U35" s="16">
        <v>285619</v>
      </c>
      <c r="V35" s="16">
        <v>277406</v>
      </c>
      <c r="W35" s="16">
        <v>261068</v>
      </c>
      <c r="X35" s="16">
        <v>246981</v>
      </c>
      <c r="Y35" s="16">
        <v>247505</v>
      </c>
      <c r="Z35" s="16">
        <v>236071</v>
      </c>
      <c r="AA35" s="16">
        <v>233052</v>
      </c>
      <c r="AB35" s="16">
        <v>219551</v>
      </c>
      <c r="AC35" s="16">
        <v>211025</v>
      </c>
      <c r="AD35" s="16">
        <v>202848</v>
      </c>
      <c r="AE35" s="16">
        <v>197886</v>
      </c>
      <c r="AF35" s="16">
        <v>192660</v>
      </c>
      <c r="AG35" s="16">
        <v>172740</v>
      </c>
      <c r="AH35" s="16"/>
      <c r="AI35" s="16"/>
      <c r="AJ35" s="16"/>
      <c r="AK35" s="16"/>
      <c r="AL35" s="16"/>
      <c r="AM35" s="16"/>
      <c r="AN35" s="16"/>
      <c r="AO35" s="16"/>
      <c r="AP35" s="16"/>
      <c r="AQ35" s="16"/>
      <c r="AR35" s="16"/>
      <c r="AS35" s="16"/>
      <c r="AT35" s="16"/>
      <c r="AU35" s="5"/>
      <c r="AV35" s="5"/>
      <c r="AW35" s="5"/>
      <c r="AX35" s="5"/>
      <c r="AY35" s="5"/>
      <c r="AZ35" s="5"/>
      <c r="BA35" s="5"/>
    </row>
    <row r="36" spans="1:57" ht="12.5" x14ac:dyDescent="0.25">
      <c r="A36" s="17">
        <v>13</v>
      </c>
      <c r="B36" s="17">
        <v>11567</v>
      </c>
      <c r="C36" s="16">
        <v>489699</v>
      </c>
      <c r="D36" s="16">
        <v>440397</v>
      </c>
      <c r="E36" s="16">
        <v>407514</v>
      </c>
      <c r="F36" s="16">
        <v>393878</v>
      </c>
      <c r="G36" s="16">
        <v>365191</v>
      </c>
      <c r="H36" s="16">
        <v>355012</v>
      </c>
      <c r="I36" s="16">
        <v>337123</v>
      </c>
      <c r="J36" s="16">
        <v>318480</v>
      </c>
      <c r="K36" s="16">
        <v>304949</v>
      </c>
      <c r="L36" s="16">
        <v>296813</v>
      </c>
      <c r="M36" s="16">
        <v>283702</v>
      </c>
      <c r="N36" s="16">
        <v>271588</v>
      </c>
      <c r="O36" s="16">
        <v>253879</v>
      </c>
      <c r="P36" s="16">
        <v>246494</v>
      </c>
      <c r="Q36" s="16">
        <v>236985</v>
      </c>
      <c r="R36" s="16">
        <v>229512</v>
      </c>
      <c r="S36" s="16">
        <v>217594</v>
      </c>
      <c r="T36" s="16">
        <v>211128</v>
      </c>
      <c r="U36" s="16">
        <v>204836</v>
      </c>
      <c r="V36" s="16">
        <v>203181</v>
      </c>
      <c r="W36" s="16">
        <v>195759</v>
      </c>
      <c r="X36" s="16">
        <v>188727</v>
      </c>
      <c r="Y36" s="16">
        <v>180814</v>
      </c>
      <c r="Z36" s="16">
        <v>179894</v>
      </c>
      <c r="AA36" s="16">
        <v>171512</v>
      </c>
      <c r="AB36" s="16">
        <v>163825</v>
      </c>
      <c r="AC36" s="16">
        <v>156487</v>
      </c>
      <c r="AD36" s="16">
        <v>151218</v>
      </c>
      <c r="AE36" s="16">
        <v>145061</v>
      </c>
      <c r="AF36" s="16">
        <v>139922</v>
      </c>
      <c r="AG36" s="16">
        <v>137137</v>
      </c>
      <c r="AH36" s="16">
        <v>118483</v>
      </c>
      <c r="AI36" s="16"/>
      <c r="AJ36" s="16"/>
      <c r="AK36" s="16"/>
      <c r="AL36" s="16"/>
      <c r="AM36" s="16"/>
      <c r="AN36" s="16"/>
      <c r="AO36" s="16"/>
      <c r="AP36" s="16"/>
      <c r="AQ36" s="16"/>
      <c r="AR36" s="16"/>
      <c r="AS36" s="16"/>
      <c r="AT36" s="16"/>
      <c r="AU36" s="5"/>
      <c r="AV36" s="5"/>
      <c r="AW36" s="5"/>
      <c r="AX36" s="5"/>
      <c r="AY36" s="5"/>
      <c r="AZ36" s="5"/>
      <c r="BA36" s="5"/>
    </row>
    <row r="37" spans="1:57" ht="12.5" x14ac:dyDescent="0.25">
      <c r="A37" s="17">
        <v>12</v>
      </c>
      <c r="B37" s="17">
        <v>14362</v>
      </c>
      <c r="C37" s="16">
        <v>486398</v>
      </c>
      <c r="D37" s="16">
        <v>480306</v>
      </c>
      <c r="E37" s="16">
        <v>452387</v>
      </c>
      <c r="F37" s="16">
        <v>430892</v>
      </c>
      <c r="G37" s="16">
        <v>403371</v>
      </c>
      <c r="H37" s="16">
        <v>392701</v>
      </c>
      <c r="I37" s="16">
        <v>387576</v>
      </c>
      <c r="J37" s="16">
        <v>366975</v>
      </c>
      <c r="K37" s="16">
        <v>350084</v>
      </c>
      <c r="L37" s="16">
        <v>337275</v>
      </c>
      <c r="M37" s="16">
        <v>330242</v>
      </c>
      <c r="N37" s="16">
        <v>319493</v>
      </c>
      <c r="O37" s="16">
        <v>306850</v>
      </c>
      <c r="P37" s="16">
        <v>292293</v>
      </c>
      <c r="Q37" s="16">
        <v>280200</v>
      </c>
      <c r="R37" s="16">
        <v>271923</v>
      </c>
      <c r="S37" s="16">
        <v>261156</v>
      </c>
      <c r="T37" s="16">
        <v>255634</v>
      </c>
      <c r="U37" s="16">
        <v>247280</v>
      </c>
      <c r="V37" s="16">
        <v>241277</v>
      </c>
      <c r="W37" s="16">
        <v>235850</v>
      </c>
      <c r="X37" s="16">
        <v>228169</v>
      </c>
      <c r="Y37" s="16">
        <v>218606</v>
      </c>
      <c r="Z37" s="16">
        <v>210822</v>
      </c>
      <c r="AA37" s="16">
        <v>210823</v>
      </c>
      <c r="AB37" s="16">
        <v>200105</v>
      </c>
      <c r="AC37" s="16">
        <v>193793</v>
      </c>
      <c r="AD37" s="16">
        <v>189985</v>
      </c>
      <c r="AE37" s="16">
        <v>178360</v>
      </c>
      <c r="AF37" s="16">
        <v>173748</v>
      </c>
      <c r="AG37" s="16">
        <v>166477</v>
      </c>
      <c r="AH37" s="16">
        <v>163317</v>
      </c>
      <c r="AI37" s="16">
        <v>142970</v>
      </c>
      <c r="AJ37" s="16"/>
      <c r="AK37" s="16"/>
      <c r="AL37" s="16"/>
      <c r="AM37" s="16"/>
      <c r="AN37" s="16"/>
      <c r="AO37" s="16"/>
      <c r="AP37" s="16"/>
      <c r="AQ37" s="16"/>
      <c r="AR37" s="16"/>
      <c r="AS37" s="16"/>
      <c r="AT37" s="16"/>
      <c r="AU37" s="5"/>
      <c r="AV37" s="5"/>
      <c r="AW37" s="5"/>
      <c r="AX37" s="5"/>
      <c r="AY37" s="5"/>
      <c r="AZ37" s="5"/>
      <c r="BA37" s="5"/>
    </row>
    <row r="38" spans="1:57" ht="12.5" x14ac:dyDescent="0.25">
      <c r="A38" s="17">
        <v>11</v>
      </c>
      <c r="B38" s="17">
        <v>18709</v>
      </c>
      <c r="C38" s="16">
        <v>579552</v>
      </c>
      <c r="D38" s="16">
        <v>481484</v>
      </c>
      <c r="E38" s="16">
        <v>498073</v>
      </c>
      <c r="F38" s="16">
        <v>485968</v>
      </c>
      <c r="G38" s="16">
        <v>457279</v>
      </c>
      <c r="H38" s="16">
        <v>443775</v>
      </c>
      <c r="I38" s="16">
        <v>433502</v>
      </c>
      <c r="J38" s="16">
        <v>429712</v>
      </c>
      <c r="K38" s="16">
        <v>417737</v>
      </c>
      <c r="L38" s="16">
        <v>395490</v>
      </c>
      <c r="M38" s="16">
        <v>383868</v>
      </c>
      <c r="N38" s="16">
        <v>372818</v>
      </c>
      <c r="O38" s="16">
        <v>368626</v>
      </c>
      <c r="P38" s="16">
        <v>352310</v>
      </c>
      <c r="Q38" s="16">
        <v>339060</v>
      </c>
      <c r="R38" s="16">
        <v>327675</v>
      </c>
      <c r="S38" s="16">
        <v>314880</v>
      </c>
      <c r="T38" s="16">
        <v>302582</v>
      </c>
      <c r="U38" s="16">
        <v>297808</v>
      </c>
      <c r="V38" s="16">
        <v>289678</v>
      </c>
      <c r="W38" s="16">
        <v>282556</v>
      </c>
      <c r="X38" s="16">
        <v>277334</v>
      </c>
      <c r="Y38" s="16">
        <v>273543</v>
      </c>
      <c r="Z38" s="16">
        <v>259599</v>
      </c>
      <c r="AA38" s="16">
        <v>252042</v>
      </c>
      <c r="AB38" s="16">
        <v>252540</v>
      </c>
      <c r="AC38" s="16">
        <v>241912</v>
      </c>
      <c r="AD38" s="16">
        <v>232585</v>
      </c>
      <c r="AE38" s="16">
        <v>220515</v>
      </c>
      <c r="AF38" s="16">
        <v>211453</v>
      </c>
      <c r="AG38" s="16">
        <v>202430</v>
      </c>
      <c r="AH38" s="16">
        <v>195562</v>
      </c>
      <c r="AI38" s="16">
        <v>189875</v>
      </c>
      <c r="AJ38" s="16">
        <v>167477</v>
      </c>
      <c r="AK38" s="16"/>
      <c r="AL38" s="16"/>
      <c r="AM38" s="16"/>
      <c r="AN38" s="16"/>
      <c r="AO38" s="16"/>
      <c r="AP38" s="16"/>
      <c r="AQ38" s="16"/>
      <c r="AR38" s="16"/>
      <c r="AS38" s="16"/>
      <c r="AT38" s="16"/>
      <c r="AU38" s="5"/>
      <c r="AV38" s="5"/>
      <c r="AW38" s="5"/>
      <c r="AX38" s="5"/>
      <c r="AY38" s="5"/>
      <c r="AZ38" s="5"/>
      <c r="BA38" s="5"/>
    </row>
    <row r="39" spans="1:57" ht="12.5" x14ac:dyDescent="0.25">
      <c r="A39" s="17">
        <v>10</v>
      </c>
      <c r="B39" s="17">
        <v>21946</v>
      </c>
      <c r="C39" s="16">
        <v>616961</v>
      </c>
      <c r="D39" s="16">
        <v>562044</v>
      </c>
      <c r="E39" s="16">
        <v>500614</v>
      </c>
      <c r="F39" s="16">
        <v>492216</v>
      </c>
      <c r="G39" s="16">
        <v>457128</v>
      </c>
      <c r="H39" s="16">
        <v>439217</v>
      </c>
      <c r="I39" s="16">
        <v>421190</v>
      </c>
      <c r="J39" s="16">
        <v>406139</v>
      </c>
      <c r="K39" s="16">
        <v>399853</v>
      </c>
      <c r="L39" s="16">
        <v>381955</v>
      </c>
      <c r="M39" s="16">
        <v>364140</v>
      </c>
      <c r="N39" s="16">
        <v>350198</v>
      </c>
      <c r="O39" s="16">
        <v>342715</v>
      </c>
      <c r="P39" s="16">
        <v>330481</v>
      </c>
      <c r="Q39" s="16">
        <v>320672</v>
      </c>
      <c r="R39" s="16">
        <v>306751</v>
      </c>
      <c r="S39" s="16">
        <v>289970</v>
      </c>
      <c r="T39" s="16">
        <v>282968</v>
      </c>
      <c r="U39" s="16">
        <v>277536</v>
      </c>
      <c r="V39" s="16">
        <v>267868</v>
      </c>
      <c r="W39" s="16">
        <v>261418</v>
      </c>
      <c r="X39" s="16">
        <v>256870</v>
      </c>
      <c r="Y39" s="16">
        <v>252645</v>
      </c>
      <c r="Z39" s="16">
        <v>244866</v>
      </c>
      <c r="AA39" s="16">
        <v>233069</v>
      </c>
      <c r="AB39" s="16">
        <v>224709</v>
      </c>
      <c r="AC39" s="16">
        <v>221112</v>
      </c>
      <c r="AD39" s="16">
        <v>216636</v>
      </c>
      <c r="AE39" s="16">
        <v>207230</v>
      </c>
      <c r="AF39" s="16">
        <v>200582</v>
      </c>
      <c r="AG39" s="16">
        <v>188232</v>
      </c>
      <c r="AH39" s="16">
        <v>182499</v>
      </c>
      <c r="AI39" s="16">
        <v>175791</v>
      </c>
      <c r="AJ39" s="16">
        <v>173509</v>
      </c>
      <c r="AK39" s="16">
        <v>145730</v>
      </c>
      <c r="AL39" s="16"/>
      <c r="AM39" s="16"/>
      <c r="AN39" s="16"/>
      <c r="AO39" s="16"/>
      <c r="AP39" s="16"/>
      <c r="AQ39" s="16"/>
      <c r="AR39" s="16"/>
      <c r="AS39" s="16"/>
      <c r="AT39" s="16"/>
      <c r="AU39" s="5"/>
      <c r="AV39" s="5"/>
      <c r="AW39" s="5"/>
      <c r="AX39" s="5"/>
      <c r="AY39" s="5"/>
      <c r="AZ39" s="5"/>
      <c r="BA39" s="5"/>
    </row>
    <row r="40" spans="1:57" ht="12.5" x14ac:dyDescent="0.25">
      <c r="A40" s="17">
        <v>9</v>
      </c>
      <c r="B40" s="17">
        <v>13502</v>
      </c>
      <c r="C40" s="16">
        <v>445906</v>
      </c>
      <c r="D40" s="16">
        <v>387394</v>
      </c>
      <c r="E40" s="16">
        <v>363431</v>
      </c>
      <c r="F40" s="16">
        <v>336149</v>
      </c>
      <c r="G40" s="16">
        <v>313630</v>
      </c>
      <c r="H40" s="16">
        <v>301070</v>
      </c>
      <c r="I40" s="16">
        <v>285499</v>
      </c>
      <c r="J40" s="16">
        <v>272390</v>
      </c>
      <c r="K40" s="16">
        <v>260992</v>
      </c>
      <c r="L40" s="16">
        <v>260317</v>
      </c>
      <c r="M40" s="16">
        <v>245862</v>
      </c>
      <c r="N40" s="16">
        <v>231906</v>
      </c>
      <c r="O40" s="16">
        <v>228910</v>
      </c>
      <c r="P40" s="16">
        <v>218547</v>
      </c>
      <c r="Q40" s="16">
        <v>213826</v>
      </c>
      <c r="R40" s="16">
        <v>204173</v>
      </c>
      <c r="S40" s="16">
        <v>195460</v>
      </c>
      <c r="T40" s="16">
        <v>187228</v>
      </c>
      <c r="U40" s="16">
        <v>178988</v>
      </c>
      <c r="V40" s="16">
        <v>176389</v>
      </c>
      <c r="W40" s="16">
        <v>173872</v>
      </c>
      <c r="X40" s="16">
        <v>168811</v>
      </c>
      <c r="Y40" s="16">
        <v>167361</v>
      </c>
      <c r="Z40" s="16">
        <v>165162</v>
      </c>
      <c r="AA40" s="16">
        <v>157094</v>
      </c>
      <c r="AB40" s="16">
        <v>153339</v>
      </c>
      <c r="AC40" s="16">
        <v>149016</v>
      </c>
      <c r="AD40" s="16">
        <v>144348</v>
      </c>
      <c r="AE40" s="16">
        <v>141258</v>
      </c>
      <c r="AF40" s="16">
        <v>137260</v>
      </c>
      <c r="AG40" s="16">
        <v>129612</v>
      </c>
      <c r="AH40" s="16">
        <v>121174</v>
      </c>
      <c r="AI40" s="16">
        <v>117177</v>
      </c>
      <c r="AJ40" s="16">
        <v>115949</v>
      </c>
      <c r="AK40" s="16">
        <v>112906</v>
      </c>
      <c r="AL40" s="16">
        <v>98521</v>
      </c>
      <c r="AM40" s="16"/>
      <c r="AN40" s="16"/>
      <c r="AO40" s="16"/>
      <c r="AP40" s="16"/>
      <c r="AQ40" s="16"/>
      <c r="AR40" s="16"/>
      <c r="AS40" s="16"/>
      <c r="AT40" s="16"/>
      <c r="AU40" s="5"/>
      <c r="AV40" s="5"/>
      <c r="AW40" s="5"/>
      <c r="AX40" s="5"/>
      <c r="AY40" s="5"/>
      <c r="AZ40" s="5"/>
      <c r="BA40" s="5"/>
    </row>
    <row r="41" spans="1:57" ht="12.5" x14ac:dyDescent="0.25">
      <c r="A41" s="17">
        <v>8</v>
      </c>
      <c r="B41" s="17">
        <v>13102</v>
      </c>
      <c r="C41" s="16">
        <v>416755</v>
      </c>
      <c r="D41" s="16">
        <v>405936</v>
      </c>
      <c r="E41" s="16">
        <v>364917</v>
      </c>
      <c r="F41" s="16">
        <v>348733</v>
      </c>
      <c r="G41" s="16">
        <v>316078</v>
      </c>
      <c r="H41" s="16">
        <v>304558</v>
      </c>
      <c r="I41" s="16">
        <v>286711</v>
      </c>
      <c r="J41" s="16">
        <v>276859</v>
      </c>
      <c r="K41" s="16">
        <v>265643</v>
      </c>
      <c r="L41" s="16">
        <v>255434</v>
      </c>
      <c r="M41" s="16">
        <v>251764</v>
      </c>
      <c r="N41" s="16">
        <v>242583</v>
      </c>
      <c r="O41" s="16">
        <v>228358</v>
      </c>
      <c r="P41" s="16">
        <v>221102</v>
      </c>
      <c r="Q41" s="16">
        <v>213579</v>
      </c>
      <c r="R41" s="16">
        <v>208833</v>
      </c>
      <c r="S41" s="16">
        <v>203392</v>
      </c>
      <c r="T41" s="16">
        <v>191272</v>
      </c>
      <c r="U41" s="16">
        <v>184820</v>
      </c>
      <c r="V41" s="16">
        <v>180525</v>
      </c>
      <c r="W41" s="16">
        <v>177950</v>
      </c>
      <c r="X41" s="16">
        <v>171753</v>
      </c>
      <c r="Y41" s="16">
        <v>168420</v>
      </c>
      <c r="Z41" s="16">
        <v>165585</v>
      </c>
      <c r="AA41" s="16">
        <v>162336</v>
      </c>
      <c r="AB41" s="16">
        <v>155233</v>
      </c>
      <c r="AC41" s="16">
        <v>149874</v>
      </c>
      <c r="AD41" s="16">
        <v>143850</v>
      </c>
      <c r="AE41" s="16">
        <v>142168</v>
      </c>
      <c r="AF41" s="16">
        <v>139535</v>
      </c>
      <c r="AG41" s="16">
        <v>132014</v>
      </c>
      <c r="AH41" s="16">
        <v>128411</v>
      </c>
      <c r="AI41" s="16">
        <v>121024</v>
      </c>
      <c r="AJ41" s="16">
        <v>116182</v>
      </c>
      <c r="AK41" s="16">
        <v>111050</v>
      </c>
      <c r="AL41" s="16">
        <v>109570</v>
      </c>
      <c r="AM41" s="16">
        <v>96288</v>
      </c>
      <c r="AN41" s="16"/>
      <c r="AO41" s="16"/>
      <c r="AP41" s="16"/>
      <c r="AQ41" s="16"/>
      <c r="AR41" s="16"/>
      <c r="AS41" s="16"/>
      <c r="AT41" s="16"/>
      <c r="AU41" s="5"/>
      <c r="AV41" s="5"/>
      <c r="AW41" s="5"/>
      <c r="AX41" s="5"/>
      <c r="AY41" s="5"/>
      <c r="AZ41" s="5"/>
      <c r="BA41" s="5"/>
    </row>
    <row r="42" spans="1:57" ht="12.5" x14ac:dyDescent="0.25">
      <c r="A42" s="17">
        <v>7</v>
      </c>
      <c r="B42" s="17">
        <v>13354</v>
      </c>
      <c r="C42" s="16">
        <v>416140</v>
      </c>
      <c r="D42" s="16">
        <v>385084</v>
      </c>
      <c r="E42" s="16">
        <v>385378</v>
      </c>
      <c r="F42" s="16">
        <v>346785</v>
      </c>
      <c r="G42" s="16">
        <v>320953</v>
      </c>
      <c r="H42" s="16">
        <v>300517</v>
      </c>
      <c r="I42" s="16">
        <v>289401</v>
      </c>
      <c r="J42" s="16">
        <v>274170</v>
      </c>
      <c r="K42" s="16">
        <v>260258</v>
      </c>
      <c r="L42" s="16">
        <v>251240</v>
      </c>
      <c r="M42" s="16">
        <v>242628</v>
      </c>
      <c r="N42" s="16">
        <v>238300</v>
      </c>
      <c r="O42" s="16">
        <v>230136</v>
      </c>
      <c r="P42" s="16">
        <v>217752</v>
      </c>
      <c r="Q42" s="16">
        <v>212865</v>
      </c>
      <c r="R42" s="16">
        <v>208009</v>
      </c>
      <c r="S42" s="16">
        <v>198738</v>
      </c>
      <c r="T42" s="16">
        <v>194131</v>
      </c>
      <c r="U42" s="16">
        <v>182754</v>
      </c>
      <c r="V42" s="16">
        <v>179597</v>
      </c>
      <c r="W42" s="16">
        <v>172780</v>
      </c>
      <c r="X42" s="16">
        <v>172085</v>
      </c>
      <c r="Y42" s="16">
        <v>166068</v>
      </c>
      <c r="Z42" s="16">
        <v>164255</v>
      </c>
      <c r="AA42" s="16">
        <v>159933</v>
      </c>
      <c r="AB42" s="16">
        <v>155760</v>
      </c>
      <c r="AC42" s="16">
        <v>153592</v>
      </c>
      <c r="AD42" s="16">
        <v>146579</v>
      </c>
      <c r="AE42" s="16">
        <v>140048</v>
      </c>
      <c r="AF42" s="16">
        <v>137401</v>
      </c>
      <c r="AG42" s="16">
        <v>133306</v>
      </c>
      <c r="AH42" s="16">
        <v>127762</v>
      </c>
      <c r="AI42" s="16">
        <v>120050</v>
      </c>
      <c r="AJ42" s="16">
        <v>114706</v>
      </c>
      <c r="AK42" s="16">
        <v>114510</v>
      </c>
      <c r="AL42" s="16">
        <v>108821</v>
      </c>
      <c r="AM42" s="16">
        <v>108269</v>
      </c>
      <c r="AN42" s="16">
        <v>95126</v>
      </c>
      <c r="AO42" s="16"/>
      <c r="AP42" s="16"/>
      <c r="AQ42" s="16"/>
      <c r="AR42" s="16"/>
      <c r="AS42" s="16"/>
      <c r="AT42" s="16"/>
      <c r="AU42" s="5"/>
      <c r="AV42" s="5"/>
      <c r="AW42" s="5"/>
      <c r="AX42" s="5"/>
      <c r="AY42" s="5"/>
      <c r="AZ42" s="5"/>
      <c r="BA42" s="5"/>
    </row>
    <row r="43" spans="1:57" ht="12.5" x14ac:dyDescent="0.25">
      <c r="A43" s="17">
        <v>6</v>
      </c>
      <c r="B43" s="17">
        <v>14051</v>
      </c>
      <c r="C43" s="16">
        <v>428909</v>
      </c>
      <c r="D43" s="16">
        <v>393801</v>
      </c>
      <c r="E43" s="16">
        <v>374254</v>
      </c>
      <c r="F43" s="16">
        <v>378531</v>
      </c>
      <c r="G43" s="16">
        <v>342456</v>
      </c>
      <c r="H43" s="16">
        <v>322077</v>
      </c>
      <c r="I43" s="16">
        <v>301502</v>
      </c>
      <c r="J43" s="16">
        <v>286497</v>
      </c>
      <c r="K43" s="16">
        <v>274087</v>
      </c>
      <c r="L43" s="16">
        <v>259560</v>
      </c>
      <c r="M43" s="16">
        <v>253918</v>
      </c>
      <c r="N43" s="16">
        <v>244023</v>
      </c>
      <c r="O43" s="16">
        <v>243212</v>
      </c>
      <c r="P43" s="16">
        <v>230922</v>
      </c>
      <c r="Q43" s="16">
        <v>220249</v>
      </c>
      <c r="R43" s="16">
        <v>214347</v>
      </c>
      <c r="S43" s="16">
        <v>211360</v>
      </c>
      <c r="T43" s="16">
        <v>202096</v>
      </c>
      <c r="U43" s="16">
        <v>195432</v>
      </c>
      <c r="V43" s="16">
        <v>185973</v>
      </c>
      <c r="W43" s="16">
        <v>182226</v>
      </c>
      <c r="X43" s="16">
        <v>176967</v>
      </c>
      <c r="Y43" s="16">
        <v>172177</v>
      </c>
      <c r="Z43" s="16">
        <v>171427</v>
      </c>
      <c r="AA43" s="16">
        <v>169963</v>
      </c>
      <c r="AB43" s="16">
        <v>165503</v>
      </c>
      <c r="AC43" s="16">
        <v>161185</v>
      </c>
      <c r="AD43" s="16">
        <v>159100</v>
      </c>
      <c r="AE43" s="16">
        <v>151488</v>
      </c>
      <c r="AF43" s="16">
        <v>148786</v>
      </c>
      <c r="AG43" s="16">
        <v>145839</v>
      </c>
      <c r="AH43" s="16">
        <v>141749</v>
      </c>
      <c r="AI43" s="16">
        <v>135694</v>
      </c>
      <c r="AJ43" s="16">
        <v>130846</v>
      </c>
      <c r="AK43" s="16">
        <v>125876</v>
      </c>
      <c r="AL43" s="16">
        <v>122011</v>
      </c>
      <c r="AM43" s="16">
        <v>120604</v>
      </c>
      <c r="AN43" s="16">
        <v>118846</v>
      </c>
      <c r="AO43" s="16">
        <v>102177</v>
      </c>
      <c r="AP43" s="16"/>
      <c r="AQ43" s="16"/>
      <c r="AR43" s="16"/>
      <c r="AS43" s="16"/>
      <c r="AT43" s="16"/>
      <c r="AU43" s="5"/>
      <c r="AV43" s="5"/>
      <c r="AW43" s="5"/>
      <c r="AX43" s="5"/>
      <c r="AY43" s="5"/>
      <c r="AZ43" s="5"/>
      <c r="BA43" s="5"/>
    </row>
    <row r="44" spans="1:57" ht="12.5" x14ac:dyDescent="0.25">
      <c r="A44" s="17">
        <v>5</v>
      </c>
      <c r="B44" s="17">
        <v>17739</v>
      </c>
      <c r="C44" s="16">
        <v>553302</v>
      </c>
      <c r="D44" s="16">
        <v>502948</v>
      </c>
      <c r="E44" s="16">
        <v>472246</v>
      </c>
      <c r="F44" s="16">
        <v>450927</v>
      </c>
      <c r="G44" s="16">
        <v>453823</v>
      </c>
      <c r="H44" s="16">
        <v>412112</v>
      </c>
      <c r="I44" s="16">
        <v>393724</v>
      </c>
      <c r="J44" s="16">
        <v>367373</v>
      </c>
      <c r="K44" s="16">
        <v>350599</v>
      </c>
      <c r="L44" s="16">
        <v>333274</v>
      </c>
      <c r="M44" s="16">
        <v>318479</v>
      </c>
      <c r="N44" s="16">
        <v>312933</v>
      </c>
      <c r="O44" s="16">
        <v>299600</v>
      </c>
      <c r="P44" s="16">
        <v>297640</v>
      </c>
      <c r="Q44" s="16">
        <v>287022</v>
      </c>
      <c r="R44" s="16">
        <v>275093</v>
      </c>
      <c r="S44" s="16">
        <v>263908</v>
      </c>
      <c r="T44" s="16">
        <v>253155</v>
      </c>
      <c r="U44" s="16">
        <v>250580</v>
      </c>
      <c r="V44" s="16">
        <v>245288</v>
      </c>
      <c r="W44" s="16">
        <v>236071</v>
      </c>
      <c r="X44" s="16">
        <v>226953</v>
      </c>
      <c r="Y44" s="16">
        <v>219016</v>
      </c>
      <c r="Z44" s="16">
        <v>216092</v>
      </c>
      <c r="AA44" s="16">
        <v>209637</v>
      </c>
      <c r="AB44" s="16">
        <v>204815</v>
      </c>
      <c r="AC44" s="16">
        <v>203434</v>
      </c>
      <c r="AD44" s="16">
        <v>200137</v>
      </c>
      <c r="AE44" s="16">
        <v>190345</v>
      </c>
      <c r="AF44" s="16">
        <v>184833</v>
      </c>
      <c r="AG44" s="16">
        <v>178674</v>
      </c>
      <c r="AH44" s="16">
        <v>176805</v>
      </c>
      <c r="AI44" s="16">
        <v>173010</v>
      </c>
      <c r="AJ44" s="16">
        <v>164091</v>
      </c>
      <c r="AK44" s="16">
        <v>158373</v>
      </c>
      <c r="AL44" s="16">
        <v>152890</v>
      </c>
      <c r="AM44" s="16">
        <v>146165</v>
      </c>
      <c r="AN44" s="16">
        <v>142810</v>
      </c>
      <c r="AO44" s="16">
        <v>138318</v>
      </c>
      <c r="AP44" s="16">
        <v>125781</v>
      </c>
      <c r="AQ44" s="16"/>
      <c r="AR44" s="16"/>
      <c r="AS44" s="16"/>
      <c r="AT44" s="16"/>
      <c r="AU44" s="5"/>
      <c r="AV44" s="5"/>
      <c r="AW44" s="5"/>
      <c r="AX44" s="5"/>
      <c r="AY44" s="5"/>
      <c r="AZ44" s="5"/>
      <c r="BA44" s="5"/>
    </row>
    <row r="45" spans="1:57" ht="12.5" x14ac:dyDescent="0.25">
      <c r="A45" s="17">
        <v>4</v>
      </c>
      <c r="B45" s="17">
        <v>18451</v>
      </c>
      <c r="C45" s="16">
        <v>587401</v>
      </c>
      <c r="D45" s="16">
        <v>535797</v>
      </c>
      <c r="E45" s="16">
        <v>498988</v>
      </c>
      <c r="F45" s="16">
        <v>473761</v>
      </c>
      <c r="G45" s="16">
        <v>452039</v>
      </c>
      <c r="H45" s="16">
        <v>463635</v>
      </c>
      <c r="I45" s="16">
        <v>427377</v>
      </c>
      <c r="J45" s="16">
        <v>403600</v>
      </c>
      <c r="K45" s="16">
        <v>379001</v>
      </c>
      <c r="L45" s="16">
        <v>364434</v>
      </c>
      <c r="M45" s="16">
        <v>349395</v>
      </c>
      <c r="N45" s="16">
        <v>335019</v>
      </c>
      <c r="O45" s="16">
        <v>323111</v>
      </c>
      <c r="P45" s="16">
        <v>312435</v>
      </c>
      <c r="Q45" s="16">
        <v>307801</v>
      </c>
      <c r="R45" s="16">
        <v>295092</v>
      </c>
      <c r="S45" s="16">
        <v>282978</v>
      </c>
      <c r="T45" s="16">
        <v>271880</v>
      </c>
      <c r="U45" s="16">
        <v>264519</v>
      </c>
      <c r="V45" s="16">
        <v>262382</v>
      </c>
      <c r="W45" s="16">
        <v>255832</v>
      </c>
      <c r="X45" s="16">
        <v>243115</v>
      </c>
      <c r="Y45" s="16">
        <v>235962</v>
      </c>
      <c r="Z45" s="16">
        <v>228137</v>
      </c>
      <c r="AA45" s="16">
        <v>225382</v>
      </c>
      <c r="AB45" s="16">
        <v>216484</v>
      </c>
      <c r="AC45" s="16">
        <v>211927</v>
      </c>
      <c r="AD45" s="16">
        <v>207398</v>
      </c>
      <c r="AE45" s="16">
        <v>204502</v>
      </c>
      <c r="AF45" s="16">
        <v>195539</v>
      </c>
      <c r="AG45" s="16">
        <v>189036</v>
      </c>
      <c r="AH45" s="16">
        <v>182407</v>
      </c>
      <c r="AI45" s="16">
        <v>180001</v>
      </c>
      <c r="AJ45" s="16">
        <v>172975</v>
      </c>
      <c r="AK45" s="16">
        <v>168370</v>
      </c>
      <c r="AL45" s="16">
        <v>163161</v>
      </c>
      <c r="AM45" s="16">
        <v>155770</v>
      </c>
      <c r="AN45" s="16">
        <v>152997</v>
      </c>
      <c r="AO45" s="16">
        <v>146882</v>
      </c>
      <c r="AP45" s="16">
        <v>141430</v>
      </c>
      <c r="AQ45" s="16">
        <v>122513</v>
      </c>
      <c r="AR45" s="16"/>
      <c r="AS45" s="16"/>
      <c r="AT45" s="16"/>
      <c r="AU45" s="5"/>
      <c r="AV45" s="5"/>
      <c r="AW45" s="5"/>
      <c r="AX45" s="5"/>
      <c r="AY45" s="5"/>
      <c r="AZ45" s="5"/>
      <c r="BA45" s="5"/>
    </row>
    <row r="46" spans="1:57" ht="12.5" x14ac:dyDescent="0.25">
      <c r="A46" s="17">
        <v>3</v>
      </c>
      <c r="B46" s="17">
        <v>17045</v>
      </c>
      <c r="C46" s="16">
        <v>538039</v>
      </c>
      <c r="D46" s="16">
        <v>494095</v>
      </c>
      <c r="E46" s="16">
        <v>462067</v>
      </c>
      <c r="F46" s="16">
        <v>434502</v>
      </c>
      <c r="G46" s="16">
        <v>415107</v>
      </c>
      <c r="H46" s="16">
        <v>404283</v>
      </c>
      <c r="I46" s="16">
        <v>413369</v>
      </c>
      <c r="J46" s="16">
        <v>376506</v>
      </c>
      <c r="K46" s="16">
        <v>361878</v>
      </c>
      <c r="L46" s="16">
        <v>336404</v>
      </c>
      <c r="M46" s="16">
        <v>327695</v>
      </c>
      <c r="N46" s="16">
        <v>311630</v>
      </c>
      <c r="O46" s="16">
        <v>298801</v>
      </c>
      <c r="P46" s="16">
        <v>288928</v>
      </c>
      <c r="Q46" s="16">
        <v>281436</v>
      </c>
      <c r="R46" s="16">
        <v>276199</v>
      </c>
      <c r="S46" s="16">
        <v>264775</v>
      </c>
      <c r="T46" s="16">
        <v>251882</v>
      </c>
      <c r="U46" s="16">
        <v>245482</v>
      </c>
      <c r="V46" s="16">
        <v>243560</v>
      </c>
      <c r="W46" s="16">
        <v>236340</v>
      </c>
      <c r="X46" s="16">
        <v>227988</v>
      </c>
      <c r="Y46" s="16">
        <v>221074</v>
      </c>
      <c r="Z46" s="16">
        <v>210009</v>
      </c>
      <c r="AA46" s="16">
        <v>203235</v>
      </c>
      <c r="AB46" s="16">
        <v>201794</v>
      </c>
      <c r="AC46" s="16">
        <v>198502</v>
      </c>
      <c r="AD46" s="16">
        <v>195424</v>
      </c>
      <c r="AE46" s="16">
        <v>190684</v>
      </c>
      <c r="AF46" s="16">
        <v>187415</v>
      </c>
      <c r="AG46" s="16">
        <v>178677</v>
      </c>
      <c r="AH46" s="16">
        <v>172080</v>
      </c>
      <c r="AI46" s="16">
        <v>165784</v>
      </c>
      <c r="AJ46" s="16">
        <v>162013</v>
      </c>
      <c r="AK46" s="16">
        <v>156993</v>
      </c>
      <c r="AL46" s="16">
        <v>153555</v>
      </c>
      <c r="AM46" s="16">
        <v>150724</v>
      </c>
      <c r="AN46" s="16">
        <v>143200</v>
      </c>
      <c r="AO46" s="16">
        <v>137743</v>
      </c>
      <c r="AP46" s="16">
        <v>131787</v>
      </c>
      <c r="AQ46" s="16">
        <v>127681</v>
      </c>
      <c r="AR46" s="16">
        <v>112405</v>
      </c>
      <c r="AS46" s="16"/>
      <c r="AT46" s="16"/>
      <c r="AU46" s="5"/>
      <c r="AV46" s="5"/>
      <c r="AW46" s="5"/>
      <c r="AX46" s="5"/>
      <c r="AY46" s="5"/>
      <c r="AZ46" s="5"/>
      <c r="BA46" s="5"/>
    </row>
    <row r="47" spans="1:57" ht="12.5" x14ac:dyDescent="0.25">
      <c r="A47" s="17">
        <v>2</v>
      </c>
      <c r="B47" s="17">
        <v>15828</v>
      </c>
      <c r="C47" s="16">
        <v>496004</v>
      </c>
      <c r="D47" s="16">
        <v>449469</v>
      </c>
      <c r="E47" s="16">
        <v>422718</v>
      </c>
      <c r="F47" s="16">
        <v>398261</v>
      </c>
      <c r="G47" s="16">
        <v>374971</v>
      </c>
      <c r="H47" s="16">
        <v>358973</v>
      </c>
      <c r="I47" s="16">
        <v>347708</v>
      </c>
      <c r="J47" s="16">
        <v>356305</v>
      </c>
      <c r="K47" s="16">
        <v>329295</v>
      </c>
      <c r="L47" s="16">
        <v>316147</v>
      </c>
      <c r="M47" s="16">
        <v>294099</v>
      </c>
      <c r="N47" s="16">
        <v>284413</v>
      </c>
      <c r="O47" s="16">
        <v>272152</v>
      </c>
      <c r="P47" s="16">
        <v>261801</v>
      </c>
      <c r="Q47" s="16">
        <v>258285</v>
      </c>
      <c r="R47" s="16">
        <v>249211</v>
      </c>
      <c r="S47" s="16">
        <v>244975</v>
      </c>
      <c r="T47" s="16">
        <v>237399</v>
      </c>
      <c r="U47" s="16">
        <v>225989</v>
      </c>
      <c r="V47" s="16">
        <v>222412</v>
      </c>
      <c r="W47" s="16">
        <v>217712</v>
      </c>
      <c r="X47" s="16">
        <v>215745</v>
      </c>
      <c r="Y47" s="16">
        <v>209687</v>
      </c>
      <c r="Z47" s="16">
        <v>199222</v>
      </c>
      <c r="AA47" s="16">
        <v>191176</v>
      </c>
      <c r="AB47" s="16">
        <v>187681</v>
      </c>
      <c r="AC47" s="16">
        <v>187518</v>
      </c>
      <c r="AD47" s="16">
        <v>184374</v>
      </c>
      <c r="AE47" s="16">
        <v>178887</v>
      </c>
      <c r="AF47" s="16">
        <v>174610</v>
      </c>
      <c r="AG47" s="16">
        <v>168926</v>
      </c>
      <c r="AH47" s="16">
        <v>164716</v>
      </c>
      <c r="AI47" s="16">
        <v>160754</v>
      </c>
      <c r="AJ47" s="16">
        <v>154363</v>
      </c>
      <c r="AK47" s="16">
        <v>151865</v>
      </c>
      <c r="AL47" s="16">
        <v>149468</v>
      </c>
      <c r="AM47" s="16">
        <v>144245</v>
      </c>
      <c r="AN47" s="16">
        <v>140002</v>
      </c>
      <c r="AO47" s="16">
        <v>134146</v>
      </c>
      <c r="AP47" s="16">
        <v>131829</v>
      </c>
      <c r="AQ47" s="16">
        <v>125531</v>
      </c>
      <c r="AR47" s="16">
        <v>122453</v>
      </c>
      <c r="AS47" s="16">
        <v>108483</v>
      </c>
      <c r="AT47" s="16"/>
      <c r="AU47" s="5"/>
      <c r="AV47" s="5"/>
      <c r="AW47" s="5"/>
      <c r="AX47" s="5"/>
      <c r="AY47" s="5"/>
      <c r="AZ47" s="5"/>
      <c r="BA47" s="5"/>
    </row>
    <row r="48" spans="1:57" ht="12.5" x14ac:dyDescent="0.25">
      <c r="A48" s="15">
        <v>1</v>
      </c>
      <c r="B48" s="15">
        <v>18371</v>
      </c>
      <c r="C48" s="16">
        <v>597402</v>
      </c>
      <c r="D48" s="16">
        <v>556658</v>
      </c>
      <c r="E48" s="16">
        <v>517133</v>
      </c>
      <c r="F48" s="16">
        <v>491258</v>
      </c>
      <c r="G48" s="16">
        <v>465129</v>
      </c>
      <c r="H48" s="16">
        <v>444458</v>
      </c>
      <c r="I48" s="16">
        <v>426813</v>
      </c>
      <c r="J48" s="16">
        <v>414210</v>
      </c>
      <c r="K48" s="16">
        <v>425346</v>
      </c>
      <c r="L48" s="16">
        <v>391768</v>
      </c>
      <c r="M48" s="16">
        <v>376512</v>
      </c>
      <c r="N48" s="16">
        <v>351948</v>
      </c>
      <c r="O48" s="16">
        <v>342127</v>
      </c>
      <c r="P48" s="16">
        <v>329393</v>
      </c>
      <c r="Q48" s="16">
        <v>314941</v>
      </c>
      <c r="R48" s="16">
        <v>303810</v>
      </c>
      <c r="S48" s="16">
        <v>297171</v>
      </c>
      <c r="T48" s="16">
        <v>292800</v>
      </c>
      <c r="U48" s="16">
        <v>283892</v>
      </c>
      <c r="V48" s="16">
        <v>274416</v>
      </c>
      <c r="W48" s="16">
        <v>268461</v>
      </c>
      <c r="X48" s="16">
        <v>258478</v>
      </c>
      <c r="Y48" s="16">
        <v>252368</v>
      </c>
      <c r="Z48" s="16">
        <v>244295</v>
      </c>
      <c r="AA48" s="16">
        <v>228744</v>
      </c>
      <c r="AB48" s="16">
        <v>224284</v>
      </c>
      <c r="AC48" s="16">
        <v>215225</v>
      </c>
      <c r="AD48" s="16">
        <v>212890</v>
      </c>
      <c r="AE48" s="16">
        <v>207661</v>
      </c>
      <c r="AF48" s="16">
        <v>199818</v>
      </c>
      <c r="AG48" s="16">
        <v>195465</v>
      </c>
      <c r="AH48" s="16">
        <v>190122</v>
      </c>
      <c r="AI48" s="16">
        <v>182942</v>
      </c>
      <c r="AJ48" s="16">
        <v>175612</v>
      </c>
      <c r="AK48" s="16">
        <v>170510</v>
      </c>
      <c r="AL48" s="16">
        <v>169920</v>
      </c>
      <c r="AM48" s="16">
        <v>168221</v>
      </c>
      <c r="AN48" s="16">
        <v>162723</v>
      </c>
      <c r="AO48" s="16">
        <v>152499</v>
      </c>
      <c r="AP48" s="16">
        <v>146057</v>
      </c>
      <c r="AQ48" s="16">
        <v>142163</v>
      </c>
      <c r="AR48" s="16">
        <v>137788</v>
      </c>
      <c r="AS48" s="16">
        <v>136185</v>
      </c>
      <c r="AT48" s="16">
        <v>119557</v>
      </c>
      <c r="AU48" s="5"/>
      <c r="AV48" s="5"/>
      <c r="AW48" s="5"/>
      <c r="AX48" s="5"/>
      <c r="AY48" s="5"/>
      <c r="AZ48" s="5"/>
      <c r="BA48" s="5"/>
    </row>
    <row r="49" spans="1:65" ht="12.5" x14ac:dyDescent="0.25">
      <c r="AU49" s="5"/>
      <c r="AV49" s="5"/>
      <c r="AW49" s="5"/>
      <c r="AX49" s="5"/>
      <c r="AY49" s="5"/>
      <c r="AZ49" s="5"/>
      <c r="BA49" s="5"/>
    </row>
    <row r="50" spans="1:65" ht="12.5" x14ac:dyDescent="0.25">
      <c r="A50" s="2"/>
      <c r="B50" s="2"/>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row>
    <row r="51" spans="1:65" ht="12.5"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row>
    <row r="52" spans="1:65" ht="13" thickBot="1"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row>
    <row r="53" spans="1:65" ht="23" x14ac:dyDescent="0.5">
      <c r="A53" s="27" t="s">
        <v>17</v>
      </c>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1"/>
    </row>
    <row r="54" spans="1:65" ht="12.5" x14ac:dyDescent="0.25">
      <c r="A54" s="28"/>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4"/>
    </row>
    <row r="55" spans="1:65" ht="23" x14ac:dyDescent="0.5">
      <c r="A55" s="39" t="s">
        <v>10</v>
      </c>
      <c r="B55" s="35"/>
      <c r="C55" s="40"/>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4"/>
    </row>
    <row r="56" spans="1:65" ht="12.5" x14ac:dyDescent="0.25">
      <c r="A56" s="32"/>
      <c r="B56" s="6" t="s">
        <v>4</v>
      </c>
      <c r="C56" s="7">
        <v>1</v>
      </c>
      <c r="D56" s="7">
        <v>2</v>
      </c>
      <c r="E56" s="7">
        <v>3</v>
      </c>
      <c r="F56" s="7">
        <v>4</v>
      </c>
      <c r="G56" s="7">
        <v>5</v>
      </c>
      <c r="H56" s="7">
        <v>6</v>
      </c>
      <c r="I56" s="7">
        <v>7</v>
      </c>
      <c r="J56" s="7">
        <v>8</v>
      </c>
      <c r="K56" s="7">
        <v>9</v>
      </c>
      <c r="L56" s="7">
        <v>10</v>
      </c>
      <c r="M56" s="7">
        <v>11</v>
      </c>
      <c r="N56" s="7">
        <v>12</v>
      </c>
      <c r="O56" s="7">
        <v>13</v>
      </c>
      <c r="P56" s="7">
        <v>14</v>
      </c>
      <c r="Q56" s="7">
        <v>15</v>
      </c>
      <c r="R56" s="7">
        <v>16</v>
      </c>
      <c r="S56" s="7">
        <v>17</v>
      </c>
      <c r="T56" s="7">
        <v>18</v>
      </c>
      <c r="U56" s="7">
        <v>19</v>
      </c>
      <c r="V56" s="7">
        <v>20</v>
      </c>
      <c r="W56" s="7">
        <v>21</v>
      </c>
      <c r="X56" s="7">
        <v>22</v>
      </c>
      <c r="Y56" s="7">
        <v>23</v>
      </c>
      <c r="Z56" s="7">
        <v>24</v>
      </c>
      <c r="AA56" s="7">
        <v>25</v>
      </c>
      <c r="AB56" s="7">
        <v>26</v>
      </c>
      <c r="AC56" s="7">
        <v>27</v>
      </c>
      <c r="AD56" s="7">
        <v>28</v>
      </c>
      <c r="AE56" s="7">
        <v>29</v>
      </c>
      <c r="AF56" s="7">
        <v>30</v>
      </c>
      <c r="AG56" s="7">
        <v>31</v>
      </c>
      <c r="AH56" s="7">
        <v>32</v>
      </c>
      <c r="AI56" s="7">
        <v>33</v>
      </c>
      <c r="AJ56" s="7">
        <v>34</v>
      </c>
      <c r="AK56" s="7">
        <v>35</v>
      </c>
      <c r="AL56" s="7">
        <v>36</v>
      </c>
      <c r="AM56" s="7">
        <v>37</v>
      </c>
      <c r="AN56" s="7">
        <v>38</v>
      </c>
      <c r="AO56" s="7">
        <v>39</v>
      </c>
      <c r="AP56" s="7">
        <v>40</v>
      </c>
      <c r="AQ56" s="7">
        <v>41</v>
      </c>
      <c r="AR56" s="7">
        <v>42</v>
      </c>
      <c r="AS56" s="7">
        <v>43</v>
      </c>
      <c r="AT56" s="7">
        <v>44</v>
      </c>
      <c r="AU56" s="23"/>
      <c r="AV56" s="23"/>
      <c r="AW56" s="23"/>
      <c r="AX56" s="23"/>
      <c r="AY56" s="23"/>
      <c r="AZ56" s="23"/>
      <c r="BA56" s="23"/>
      <c r="BB56" s="23"/>
      <c r="BC56" s="23"/>
      <c r="BD56" s="23"/>
      <c r="BE56" s="23"/>
      <c r="BF56" s="23"/>
      <c r="BG56" s="23"/>
      <c r="BH56" s="23"/>
      <c r="BI56" s="23"/>
      <c r="BJ56" s="23"/>
      <c r="BK56" s="23"/>
      <c r="BL56" s="23"/>
      <c r="BM56" s="24"/>
    </row>
    <row r="57" spans="1:65" ht="12.5" x14ac:dyDescent="0.25">
      <c r="A57" s="34"/>
      <c r="B57" s="35"/>
      <c r="C57" s="23" t="s">
        <v>8</v>
      </c>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4"/>
    </row>
    <row r="58" spans="1:65" ht="12.5" x14ac:dyDescent="0.25">
      <c r="A58" s="36" t="s">
        <v>5</v>
      </c>
      <c r="B58" s="35" t="s">
        <v>6</v>
      </c>
      <c r="C58" s="37"/>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4"/>
    </row>
    <row r="59" spans="1:65" ht="12.5" x14ac:dyDescent="0.25">
      <c r="A59" s="36">
        <v>44</v>
      </c>
      <c r="B59" s="35">
        <v>23612</v>
      </c>
      <c r="C59" s="41">
        <f t="shared" ref="C59:AT59" si="13">IF(C5=0, "", C5/$B5)</f>
        <v>51.99186854141962</v>
      </c>
      <c r="D59" s="41" t="str">
        <f t="shared" si="13"/>
        <v/>
      </c>
      <c r="E59" s="41" t="str">
        <f t="shared" si="13"/>
        <v/>
      </c>
      <c r="F59" s="41" t="str">
        <f t="shared" si="13"/>
        <v/>
      </c>
      <c r="G59" s="41" t="str">
        <f t="shared" si="13"/>
        <v/>
      </c>
      <c r="H59" s="41" t="str">
        <f t="shared" si="13"/>
        <v/>
      </c>
      <c r="I59" s="41" t="str">
        <f t="shared" si="13"/>
        <v/>
      </c>
      <c r="J59" s="41" t="str">
        <f t="shared" si="13"/>
        <v/>
      </c>
      <c r="K59" s="41" t="str">
        <f t="shared" si="13"/>
        <v/>
      </c>
      <c r="L59" s="41" t="str">
        <f t="shared" si="13"/>
        <v/>
      </c>
      <c r="M59" s="41" t="str">
        <f t="shared" si="13"/>
        <v/>
      </c>
      <c r="N59" s="41" t="str">
        <f t="shared" si="13"/>
        <v/>
      </c>
      <c r="O59" s="41" t="str">
        <f t="shared" si="13"/>
        <v/>
      </c>
      <c r="P59" s="41" t="str">
        <f t="shared" si="13"/>
        <v/>
      </c>
      <c r="Q59" s="41" t="str">
        <f t="shared" si="13"/>
        <v/>
      </c>
      <c r="R59" s="41" t="str">
        <f t="shared" si="13"/>
        <v/>
      </c>
      <c r="S59" s="41" t="str">
        <f t="shared" si="13"/>
        <v/>
      </c>
      <c r="T59" s="41" t="str">
        <f t="shared" si="13"/>
        <v/>
      </c>
      <c r="U59" s="41" t="str">
        <f t="shared" si="13"/>
        <v/>
      </c>
      <c r="V59" s="41" t="str">
        <f t="shared" si="13"/>
        <v/>
      </c>
      <c r="W59" s="41" t="str">
        <f t="shared" si="13"/>
        <v/>
      </c>
      <c r="X59" s="41" t="str">
        <f t="shared" si="13"/>
        <v/>
      </c>
      <c r="Y59" s="41" t="str">
        <f t="shared" si="13"/>
        <v/>
      </c>
      <c r="Z59" s="41" t="str">
        <f t="shared" si="13"/>
        <v/>
      </c>
      <c r="AA59" s="41" t="str">
        <f t="shared" si="13"/>
        <v/>
      </c>
      <c r="AB59" s="41" t="str">
        <f t="shared" si="13"/>
        <v/>
      </c>
      <c r="AC59" s="41" t="str">
        <f t="shared" si="13"/>
        <v/>
      </c>
      <c r="AD59" s="41" t="str">
        <f t="shared" si="13"/>
        <v/>
      </c>
      <c r="AE59" s="41" t="str">
        <f t="shared" si="13"/>
        <v/>
      </c>
      <c r="AF59" s="41" t="str">
        <f t="shared" si="13"/>
        <v/>
      </c>
      <c r="AG59" s="41" t="str">
        <f t="shared" si="13"/>
        <v/>
      </c>
      <c r="AH59" s="41" t="str">
        <f t="shared" si="13"/>
        <v/>
      </c>
      <c r="AI59" s="41" t="str">
        <f t="shared" si="13"/>
        <v/>
      </c>
      <c r="AJ59" s="41" t="str">
        <f t="shared" si="13"/>
        <v/>
      </c>
      <c r="AK59" s="41" t="str">
        <f t="shared" si="13"/>
        <v/>
      </c>
      <c r="AL59" s="41" t="str">
        <f t="shared" si="13"/>
        <v/>
      </c>
      <c r="AM59" s="41" t="str">
        <f t="shared" si="13"/>
        <v/>
      </c>
      <c r="AN59" s="41" t="str">
        <f t="shared" si="13"/>
        <v/>
      </c>
      <c r="AO59" s="41" t="str">
        <f t="shared" si="13"/>
        <v/>
      </c>
      <c r="AP59" s="41" t="str">
        <f t="shared" si="13"/>
        <v/>
      </c>
      <c r="AQ59" s="41" t="str">
        <f t="shared" si="13"/>
        <v/>
      </c>
      <c r="AR59" s="41" t="str">
        <f t="shared" si="13"/>
        <v/>
      </c>
      <c r="AS59" s="41" t="str">
        <f t="shared" si="13"/>
        <v/>
      </c>
      <c r="AT59" s="41" t="str">
        <f t="shared" si="13"/>
        <v/>
      </c>
      <c r="AU59" s="23"/>
      <c r="AV59" s="23"/>
      <c r="AW59" s="23"/>
      <c r="AX59" s="23"/>
      <c r="AY59" s="23"/>
      <c r="AZ59" s="23"/>
      <c r="BA59" s="23"/>
      <c r="BB59" s="23"/>
      <c r="BC59" s="23"/>
      <c r="BD59" s="23"/>
      <c r="BE59" s="23"/>
      <c r="BF59" s="23"/>
      <c r="BG59" s="23"/>
      <c r="BH59" s="23"/>
      <c r="BI59" s="23"/>
      <c r="BJ59" s="23"/>
      <c r="BK59" s="23"/>
      <c r="BL59" s="23"/>
      <c r="BM59" s="24"/>
    </row>
    <row r="60" spans="1:65" ht="12.5" x14ac:dyDescent="0.25">
      <c r="A60" s="36">
        <v>43</v>
      </c>
      <c r="B60" s="35">
        <v>24301</v>
      </c>
      <c r="C60" s="41">
        <f t="shared" ref="C60:AT60" si="14">IF(C6=0, "", C6/$B6)</f>
        <v>55.859800008230117</v>
      </c>
      <c r="D60" s="41">
        <f t="shared" si="14"/>
        <v>44.47187358544916</v>
      </c>
      <c r="E60" s="41" t="str">
        <f t="shared" si="14"/>
        <v/>
      </c>
      <c r="F60" s="41" t="str">
        <f t="shared" si="14"/>
        <v/>
      </c>
      <c r="G60" s="41" t="str">
        <f t="shared" si="14"/>
        <v/>
      </c>
      <c r="H60" s="41" t="str">
        <f t="shared" si="14"/>
        <v/>
      </c>
      <c r="I60" s="41" t="str">
        <f t="shared" si="14"/>
        <v/>
      </c>
      <c r="J60" s="41" t="str">
        <f t="shared" si="14"/>
        <v/>
      </c>
      <c r="K60" s="41" t="str">
        <f t="shared" si="14"/>
        <v/>
      </c>
      <c r="L60" s="41" t="str">
        <f t="shared" si="14"/>
        <v/>
      </c>
      <c r="M60" s="41" t="str">
        <f t="shared" si="14"/>
        <v/>
      </c>
      <c r="N60" s="41" t="str">
        <f t="shared" si="14"/>
        <v/>
      </c>
      <c r="O60" s="41" t="str">
        <f t="shared" si="14"/>
        <v/>
      </c>
      <c r="P60" s="41" t="str">
        <f t="shared" si="14"/>
        <v/>
      </c>
      <c r="Q60" s="41" t="str">
        <f t="shared" si="14"/>
        <v/>
      </c>
      <c r="R60" s="41" t="str">
        <f t="shared" si="14"/>
        <v/>
      </c>
      <c r="S60" s="41" t="str">
        <f t="shared" si="14"/>
        <v/>
      </c>
      <c r="T60" s="41" t="str">
        <f t="shared" si="14"/>
        <v/>
      </c>
      <c r="U60" s="41" t="str">
        <f t="shared" si="14"/>
        <v/>
      </c>
      <c r="V60" s="41" t="str">
        <f t="shared" si="14"/>
        <v/>
      </c>
      <c r="W60" s="41" t="str">
        <f t="shared" si="14"/>
        <v/>
      </c>
      <c r="X60" s="41" t="str">
        <f t="shared" si="14"/>
        <v/>
      </c>
      <c r="Y60" s="41" t="str">
        <f t="shared" si="14"/>
        <v/>
      </c>
      <c r="Z60" s="41" t="str">
        <f t="shared" si="14"/>
        <v/>
      </c>
      <c r="AA60" s="41" t="str">
        <f t="shared" si="14"/>
        <v/>
      </c>
      <c r="AB60" s="41" t="str">
        <f t="shared" si="14"/>
        <v/>
      </c>
      <c r="AC60" s="41" t="str">
        <f t="shared" si="14"/>
        <v/>
      </c>
      <c r="AD60" s="41" t="str">
        <f t="shared" si="14"/>
        <v/>
      </c>
      <c r="AE60" s="41" t="str">
        <f t="shared" si="14"/>
        <v/>
      </c>
      <c r="AF60" s="41" t="str">
        <f t="shared" si="14"/>
        <v/>
      </c>
      <c r="AG60" s="41" t="str">
        <f t="shared" si="14"/>
        <v/>
      </c>
      <c r="AH60" s="41" t="str">
        <f t="shared" si="14"/>
        <v/>
      </c>
      <c r="AI60" s="41" t="str">
        <f t="shared" si="14"/>
        <v/>
      </c>
      <c r="AJ60" s="41" t="str">
        <f t="shared" si="14"/>
        <v/>
      </c>
      <c r="AK60" s="41" t="str">
        <f t="shared" si="14"/>
        <v/>
      </c>
      <c r="AL60" s="41" t="str">
        <f t="shared" si="14"/>
        <v/>
      </c>
      <c r="AM60" s="41" t="str">
        <f t="shared" si="14"/>
        <v/>
      </c>
      <c r="AN60" s="41" t="str">
        <f t="shared" si="14"/>
        <v/>
      </c>
      <c r="AO60" s="41" t="str">
        <f t="shared" si="14"/>
        <v/>
      </c>
      <c r="AP60" s="41" t="str">
        <f t="shared" si="14"/>
        <v/>
      </c>
      <c r="AQ60" s="41" t="str">
        <f t="shared" si="14"/>
        <v/>
      </c>
      <c r="AR60" s="41" t="str">
        <f t="shared" si="14"/>
        <v/>
      </c>
      <c r="AS60" s="41" t="str">
        <f t="shared" si="14"/>
        <v/>
      </c>
      <c r="AT60" s="41" t="str">
        <f t="shared" si="14"/>
        <v/>
      </c>
      <c r="AU60" s="23"/>
      <c r="AV60" s="23"/>
      <c r="AW60" s="23"/>
      <c r="AX60" s="23"/>
      <c r="AY60" s="23"/>
      <c r="AZ60" s="23"/>
      <c r="BA60" s="23"/>
      <c r="BB60" s="23"/>
      <c r="BC60" s="23"/>
      <c r="BD60" s="23"/>
      <c r="BE60" s="23"/>
      <c r="BF60" s="23"/>
      <c r="BG60" s="23"/>
      <c r="BH60" s="23"/>
      <c r="BI60" s="23"/>
      <c r="BJ60" s="23"/>
      <c r="BK60" s="23"/>
      <c r="BL60" s="23"/>
      <c r="BM60" s="24"/>
    </row>
    <row r="61" spans="1:65" ht="12.5" x14ac:dyDescent="0.25">
      <c r="A61" s="36">
        <v>42</v>
      </c>
      <c r="B61" s="35">
        <v>24460</v>
      </c>
      <c r="C61" s="41">
        <f t="shared" ref="C61:AT61" si="15">IF(C7=0, "", C7/$B7)</f>
        <v>53.941864268192965</v>
      </c>
      <c r="D61" s="41">
        <f t="shared" si="15"/>
        <v>47.260506950122647</v>
      </c>
      <c r="E61" s="41">
        <f t="shared" si="15"/>
        <v>38.830784955028619</v>
      </c>
      <c r="F61" s="41" t="str">
        <f t="shared" si="15"/>
        <v/>
      </c>
      <c r="G61" s="41" t="str">
        <f t="shared" si="15"/>
        <v/>
      </c>
      <c r="H61" s="41" t="str">
        <f t="shared" si="15"/>
        <v/>
      </c>
      <c r="I61" s="41" t="str">
        <f t="shared" si="15"/>
        <v/>
      </c>
      <c r="J61" s="41" t="str">
        <f t="shared" si="15"/>
        <v/>
      </c>
      <c r="K61" s="41" t="str">
        <f t="shared" si="15"/>
        <v/>
      </c>
      <c r="L61" s="41" t="str">
        <f t="shared" si="15"/>
        <v/>
      </c>
      <c r="M61" s="41" t="str">
        <f t="shared" si="15"/>
        <v/>
      </c>
      <c r="N61" s="41" t="str">
        <f t="shared" si="15"/>
        <v/>
      </c>
      <c r="O61" s="41" t="str">
        <f t="shared" si="15"/>
        <v/>
      </c>
      <c r="P61" s="41" t="str">
        <f t="shared" si="15"/>
        <v/>
      </c>
      <c r="Q61" s="41" t="str">
        <f t="shared" si="15"/>
        <v/>
      </c>
      <c r="R61" s="41" t="str">
        <f t="shared" si="15"/>
        <v/>
      </c>
      <c r="S61" s="41" t="str">
        <f t="shared" si="15"/>
        <v/>
      </c>
      <c r="T61" s="41" t="str">
        <f t="shared" si="15"/>
        <v/>
      </c>
      <c r="U61" s="41" t="str">
        <f t="shared" si="15"/>
        <v/>
      </c>
      <c r="V61" s="41" t="str">
        <f t="shared" si="15"/>
        <v/>
      </c>
      <c r="W61" s="41" t="str">
        <f t="shared" si="15"/>
        <v/>
      </c>
      <c r="X61" s="41" t="str">
        <f t="shared" si="15"/>
        <v/>
      </c>
      <c r="Y61" s="41" t="str">
        <f t="shared" si="15"/>
        <v/>
      </c>
      <c r="Z61" s="41" t="str">
        <f t="shared" si="15"/>
        <v/>
      </c>
      <c r="AA61" s="41" t="str">
        <f t="shared" si="15"/>
        <v/>
      </c>
      <c r="AB61" s="41" t="str">
        <f t="shared" si="15"/>
        <v/>
      </c>
      <c r="AC61" s="41" t="str">
        <f t="shared" si="15"/>
        <v/>
      </c>
      <c r="AD61" s="41" t="str">
        <f t="shared" si="15"/>
        <v/>
      </c>
      <c r="AE61" s="41" t="str">
        <f t="shared" si="15"/>
        <v/>
      </c>
      <c r="AF61" s="41" t="str">
        <f t="shared" si="15"/>
        <v/>
      </c>
      <c r="AG61" s="41" t="str">
        <f t="shared" si="15"/>
        <v/>
      </c>
      <c r="AH61" s="41" t="str">
        <f t="shared" si="15"/>
        <v/>
      </c>
      <c r="AI61" s="41" t="str">
        <f t="shared" si="15"/>
        <v/>
      </c>
      <c r="AJ61" s="41" t="str">
        <f t="shared" si="15"/>
        <v/>
      </c>
      <c r="AK61" s="41" t="str">
        <f t="shared" si="15"/>
        <v/>
      </c>
      <c r="AL61" s="41" t="str">
        <f t="shared" si="15"/>
        <v/>
      </c>
      <c r="AM61" s="41" t="str">
        <f t="shared" si="15"/>
        <v/>
      </c>
      <c r="AN61" s="41" t="str">
        <f t="shared" si="15"/>
        <v/>
      </c>
      <c r="AO61" s="41" t="str">
        <f t="shared" si="15"/>
        <v/>
      </c>
      <c r="AP61" s="41" t="str">
        <f t="shared" si="15"/>
        <v/>
      </c>
      <c r="AQ61" s="41" t="str">
        <f t="shared" si="15"/>
        <v/>
      </c>
      <c r="AR61" s="41" t="str">
        <f t="shared" si="15"/>
        <v/>
      </c>
      <c r="AS61" s="41" t="str">
        <f t="shared" si="15"/>
        <v/>
      </c>
      <c r="AT61" s="41" t="str">
        <f t="shared" si="15"/>
        <v/>
      </c>
      <c r="AU61" s="23"/>
      <c r="AV61" s="23"/>
      <c r="AW61" s="23"/>
      <c r="AX61" s="23"/>
      <c r="AY61" s="23"/>
      <c r="AZ61" s="23"/>
      <c r="BA61" s="23"/>
      <c r="BB61" s="23"/>
      <c r="BC61" s="23"/>
      <c r="BD61" s="23"/>
      <c r="BE61" s="23"/>
      <c r="BF61" s="23"/>
      <c r="BG61" s="23"/>
      <c r="BH61" s="23"/>
      <c r="BI61" s="23"/>
      <c r="BJ61" s="23"/>
      <c r="BK61" s="23"/>
      <c r="BL61" s="23"/>
      <c r="BM61" s="24"/>
    </row>
    <row r="62" spans="1:65" ht="12.5" x14ac:dyDescent="0.25">
      <c r="A62" s="36">
        <v>41</v>
      </c>
      <c r="B62" s="35">
        <v>24277</v>
      </c>
      <c r="C62" s="41">
        <f t="shared" ref="C62:AT62" si="16">IF(C8=0, "", C8/$B8)</f>
        <v>52.76912303826667</v>
      </c>
      <c r="D62" s="41">
        <f t="shared" si="16"/>
        <v>45.877703175845447</v>
      </c>
      <c r="E62" s="41">
        <f t="shared" si="16"/>
        <v>41.998064011204022</v>
      </c>
      <c r="F62" s="41">
        <f t="shared" si="16"/>
        <v>35.042303414754706</v>
      </c>
      <c r="G62" s="41" t="str">
        <f t="shared" si="16"/>
        <v/>
      </c>
      <c r="H62" s="41" t="str">
        <f t="shared" si="16"/>
        <v/>
      </c>
      <c r="I62" s="41" t="str">
        <f t="shared" si="16"/>
        <v/>
      </c>
      <c r="J62" s="41" t="str">
        <f t="shared" si="16"/>
        <v/>
      </c>
      <c r="K62" s="41" t="str">
        <f t="shared" si="16"/>
        <v/>
      </c>
      <c r="L62" s="41" t="str">
        <f t="shared" si="16"/>
        <v/>
      </c>
      <c r="M62" s="41" t="str">
        <f t="shared" si="16"/>
        <v/>
      </c>
      <c r="N62" s="41" t="str">
        <f t="shared" si="16"/>
        <v/>
      </c>
      <c r="O62" s="41" t="str">
        <f t="shared" si="16"/>
        <v/>
      </c>
      <c r="P62" s="41" t="str">
        <f t="shared" si="16"/>
        <v/>
      </c>
      <c r="Q62" s="41" t="str">
        <f t="shared" si="16"/>
        <v/>
      </c>
      <c r="R62" s="41" t="str">
        <f t="shared" si="16"/>
        <v/>
      </c>
      <c r="S62" s="41" t="str">
        <f t="shared" si="16"/>
        <v/>
      </c>
      <c r="T62" s="41" t="str">
        <f t="shared" si="16"/>
        <v/>
      </c>
      <c r="U62" s="41" t="str">
        <f t="shared" si="16"/>
        <v/>
      </c>
      <c r="V62" s="41" t="str">
        <f t="shared" si="16"/>
        <v/>
      </c>
      <c r="W62" s="41" t="str">
        <f t="shared" si="16"/>
        <v/>
      </c>
      <c r="X62" s="41" t="str">
        <f t="shared" si="16"/>
        <v/>
      </c>
      <c r="Y62" s="41" t="str">
        <f t="shared" si="16"/>
        <v/>
      </c>
      <c r="Z62" s="41" t="str">
        <f t="shared" si="16"/>
        <v/>
      </c>
      <c r="AA62" s="41" t="str">
        <f t="shared" si="16"/>
        <v/>
      </c>
      <c r="AB62" s="41" t="str">
        <f t="shared" si="16"/>
        <v/>
      </c>
      <c r="AC62" s="41" t="str">
        <f t="shared" si="16"/>
        <v/>
      </c>
      <c r="AD62" s="41" t="str">
        <f t="shared" si="16"/>
        <v/>
      </c>
      <c r="AE62" s="41" t="str">
        <f t="shared" si="16"/>
        <v/>
      </c>
      <c r="AF62" s="41" t="str">
        <f t="shared" si="16"/>
        <v/>
      </c>
      <c r="AG62" s="41" t="str">
        <f t="shared" si="16"/>
        <v/>
      </c>
      <c r="AH62" s="41" t="str">
        <f t="shared" si="16"/>
        <v/>
      </c>
      <c r="AI62" s="41" t="str">
        <f t="shared" si="16"/>
        <v/>
      </c>
      <c r="AJ62" s="41" t="str">
        <f t="shared" si="16"/>
        <v/>
      </c>
      <c r="AK62" s="41" t="str">
        <f t="shared" si="16"/>
        <v/>
      </c>
      <c r="AL62" s="41" t="str">
        <f t="shared" si="16"/>
        <v/>
      </c>
      <c r="AM62" s="41" t="str">
        <f t="shared" si="16"/>
        <v/>
      </c>
      <c r="AN62" s="41" t="str">
        <f t="shared" si="16"/>
        <v/>
      </c>
      <c r="AO62" s="41" t="str">
        <f t="shared" si="16"/>
        <v/>
      </c>
      <c r="AP62" s="41" t="str">
        <f t="shared" si="16"/>
        <v/>
      </c>
      <c r="AQ62" s="41" t="str">
        <f t="shared" si="16"/>
        <v/>
      </c>
      <c r="AR62" s="41" t="str">
        <f t="shared" si="16"/>
        <v/>
      </c>
      <c r="AS62" s="41" t="str">
        <f t="shared" si="16"/>
        <v/>
      </c>
      <c r="AT62" s="41" t="str">
        <f t="shared" si="16"/>
        <v/>
      </c>
      <c r="AU62" s="23"/>
      <c r="AV62" s="23"/>
      <c r="AW62" s="23"/>
      <c r="AX62" s="23"/>
      <c r="AY62" s="23"/>
      <c r="AZ62" s="23"/>
      <c r="BA62" s="23"/>
      <c r="BB62" s="23"/>
      <c r="BC62" s="23"/>
      <c r="BD62" s="23"/>
      <c r="BE62" s="23"/>
      <c r="BF62" s="23"/>
      <c r="BG62" s="23"/>
      <c r="BH62" s="23"/>
      <c r="BI62" s="23"/>
      <c r="BJ62" s="23"/>
      <c r="BK62" s="23"/>
      <c r="BL62" s="23"/>
      <c r="BM62" s="24"/>
    </row>
    <row r="63" spans="1:65" ht="12.5" x14ac:dyDescent="0.25">
      <c r="A63" s="36">
        <v>40</v>
      </c>
      <c r="B63" s="35">
        <v>25293</v>
      </c>
      <c r="C63" s="41">
        <f t="shared" ref="C63:AT63" si="17">IF(C9=0, "", C9/$B9)</f>
        <v>51.850037559799155</v>
      </c>
      <c r="D63" s="41">
        <f t="shared" si="17"/>
        <v>45.149567073893962</v>
      </c>
      <c r="E63" s="41">
        <f t="shared" si="17"/>
        <v>40.849325900446765</v>
      </c>
      <c r="F63" s="41">
        <f t="shared" si="17"/>
        <v>38.808326414422964</v>
      </c>
      <c r="G63" s="41">
        <f t="shared" si="17"/>
        <v>31.66117107500099</v>
      </c>
      <c r="H63" s="41" t="str">
        <f t="shared" si="17"/>
        <v/>
      </c>
      <c r="I63" s="41" t="str">
        <f t="shared" si="17"/>
        <v/>
      </c>
      <c r="J63" s="41" t="str">
        <f t="shared" si="17"/>
        <v/>
      </c>
      <c r="K63" s="41" t="str">
        <f t="shared" si="17"/>
        <v/>
      </c>
      <c r="L63" s="41" t="str">
        <f t="shared" si="17"/>
        <v/>
      </c>
      <c r="M63" s="41" t="str">
        <f t="shared" si="17"/>
        <v/>
      </c>
      <c r="N63" s="41" t="str">
        <f t="shared" si="17"/>
        <v/>
      </c>
      <c r="O63" s="41" t="str">
        <f t="shared" si="17"/>
        <v/>
      </c>
      <c r="P63" s="41" t="str">
        <f t="shared" si="17"/>
        <v/>
      </c>
      <c r="Q63" s="41" t="str">
        <f t="shared" si="17"/>
        <v/>
      </c>
      <c r="R63" s="41" t="str">
        <f t="shared" si="17"/>
        <v/>
      </c>
      <c r="S63" s="41" t="str">
        <f t="shared" si="17"/>
        <v/>
      </c>
      <c r="T63" s="41" t="str">
        <f t="shared" si="17"/>
        <v/>
      </c>
      <c r="U63" s="41" t="str">
        <f t="shared" si="17"/>
        <v/>
      </c>
      <c r="V63" s="41" t="str">
        <f t="shared" si="17"/>
        <v/>
      </c>
      <c r="W63" s="41" t="str">
        <f t="shared" si="17"/>
        <v/>
      </c>
      <c r="X63" s="41" t="str">
        <f t="shared" si="17"/>
        <v/>
      </c>
      <c r="Y63" s="41" t="str">
        <f t="shared" si="17"/>
        <v/>
      </c>
      <c r="Z63" s="41" t="str">
        <f t="shared" si="17"/>
        <v/>
      </c>
      <c r="AA63" s="41" t="str">
        <f t="shared" si="17"/>
        <v/>
      </c>
      <c r="AB63" s="41" t="str">
        <f t="shared" si="17"/>
        <v/>
      </c>
      <c r="AC63" s="41" t="str">
        <f t="shared" si="17"/>
        <v/>
      </c>
      <c r="AD63" s="41" t="str">
        <f t="shared" si="17"/>
        <v/>
      </c>
      <c r="AE63" s="41" t="str">
        <f t="shared" si="17"/>
        <v/>
      </c>
      <c r="AF63" s="41" t="str">
        <f t="shared" si="17"/>
        <v/>
      </c>
      <c r="AG63" s="41" t="str">
        <f t="shared" si="17"/>
        <v/>
      </c>
      <c r="AH63" s="41" t="str">
        <f t="shared" si="17"/>
        <v/>
      </c>
      <c r="AI63" s="41" t="str">
        <f t="shared" si="17"/>
        <v/>
      </c>
      <c r="AJ63" s="41" t="str">
        <f t="shared" si="17"/>
        <v/>
      </c>
      <c r="AK63" s="41" t="str">
        <f t="shared" si="17"/>
        <v/>
      </c>
      <c r="AL63" s="41" t="str">
        <f t="shared" si="17"/>
        <v/>
      </c>
      <c r="AM63" s="41" t="str">
        <f t="shared" si="17"/>
        <v/>
      </c>
      <c r="AN63" s="41" t="str">
        <f t="shared" si="17"/>
        <v/>
      </c>
      <c r="AO63" s="41" t="str">
        <f t="shared" si="17"/>
        <v/>
      </c>
      <c r="AP63" s="41" t="str">
        <f t="shared" si="17"/>
        <v/>
      </c>
      <c r="AQ63" s="41" t="str">
        <f t="shared" si="17"/>
        <v/>
      </c>
      <c r="AR63" s="41" t="str">
        <f t="shared" si="17"/>
        <v/>
      </c>
      <c r="AS63" s="41" t="str">
        <f t="shared" si="17"/>
        <v/>
      </c>
      <c r="AT63" s="41" t="str">
        <f t="shared" si="17"/>
        <v/>
      </c>
      <c r="AU63" s="23"/>
      <c r="AV63" s="23"/>
      <c r="AW63" s="23"/>
      <c r="AX63" s="23"/>
      <c r="AY63" s="23"/>
      <c r="AZ63" s="23"/>
      <c r="BA63" s="23"/>
      <c r="BB63" s="23"/>
      <c r="BC63" s="23"/>
      <c r="BD63" s="23"/>
      <c r="BE63" s="23"/>
      <c r="BF63" s="23"/>
      <c r="BG63" s="23"/>
      <c r="BH63" s="23"/>
      <c r="BI63" s="23"/>
      <c r="BJ63" s="23"/>
      <c r="BK63" s="23"/>
      <c r="BL63" s="23"/>
      <c r="BM63" s="24"/>
    </row>
    <row r="64" spans="1:65" ht="12.5" x14ac:dyDescent="0.25">
      <c r="A64" s="36">
        <v>39</v>
      </c>
      <c r="B64" s="35">
        <v>29262</v>
      </c>
      <c r="C64" s="41">
        <f t="shared" ref="C64:AT64" si="18">IF(C10=0, "", C10/$B10)</f>
        <v>55.098592030619919</v>
      </c>
      <c r="D64" s="41">
        <f t="shared" si="18"/>
        <v>47.211229581026586</v>
      </c>
      <c r="E64" s="41">
        <f t="shared" si="18"/>
        <v>42.461998496343384</v>
      </c>
      <c r="F64" s="41">
        <f t="shared" si="18"/>
        <v>39.407935206069304</v>
      </c>
      <c r="G64" s="41">
        <f t="shared" si="18"/>
        <v>36.901818057549036</v>
      </c>
      <c r="H64" s="41">
        <f t="shared" si="18"/>
        <v>30.967397990567971</v>
      </c>
      <c r="I64" s="41" t="str">
        <f t="shared" si="18"/>
        <v/>
      </c>
      <c r="J64" s="41" t="str">
        <f t="shared" si="18"/>
        <v/>
      </c>
      <c r="K64" s="41" t="str">
        <f t="shared" si="18"/>
        <v/>
      </c>
      <c r="L64" s="41" t="str">
        <f t="shared" si="18"/>
        <v/>
      </c>
      <c r="M64" s="41" t="str">
        <f t="shared" si="18"/>
        <v/>
      </c>
      <c r="N64" s="41" t="str">
        <f t="shared" si="18"/>
        <v/>
      </c>
      <c r="O64" s="41" t="str">
        <f t="shared" si="18"/>
        <v/>
      </c>
      <c r="P64" s="41" t="str">
        <f t="shared" si="18"/>
        <v/>
      </c>
      <c r="Q64" s="41" t="str">
        <f t="shared" si="18"/>
        <v/>
      </c>
      <c r="R64" s="41" t="str">
        <f t="shared" si="18"/>
        <v/>
      </c>
      <c r="S64" s="41" t="str">
        <f t="shared" si="18"/>
        <v/>
      </c>
      <c r="T64" s="41" t="str">
        <f t="shared" si="18"/>
        <v/>
      </c>
      <c r="U64" s="41" t="str">
        <f t="shared" si="18"/>
        <v/>
      </c>
      <c r="V64" s="41" t="str">
        <f t="shared" si="18"/>
        <v/>
      </c>
      <c r="W64" s="41" t="str">
        <f t="shared" si="18"/>
        <v/>
      </c>
      <c r="X64" s="41" t="str">
        <f t="shared" si="18"/>
        <v/>
      </c>
      <c r="Y64" s="41" t="str">
        <f t="shared" si="18"/>
        <v/>
      </c>
      <c r="Z64" s="41" t="str">
        <f t="shared" si="18"/>
        <v/>
      </c>
      <c r="AA64" s="41" t="str">
        <f t="shared" si="18"/>
        <v/>
      </c>
      <c r="AB64" s="41" t="str">
        <f t="shared" si="18"/>
        <v/>
      </c>
      <c r="AC64" s="41" t="str">
        <f t="shared" si="18"/>
        <v/>
      </c>
      <c r="AD64" s="41" t="str">
        <f t="shared" si="18"/>
        <v/>
      </c>
      <c r="AE64" s="41" t="str">
        <f t="shared" si="18"/>
        <v/>
      </c>
      <c r="AF64" s="41" t="str">
        <f t="shared" si="18"/>
        <v/>
      </c>
      <c r="AG64" s="41" t="str">
        <f t="shared" si="18"/>
        <v/>
      </c>
      <c r="AH64" s="41" t="str">
        <f t="shared" si="18"/>
        <v/>
      </c>
      <c r="AI64" s="41" t="str">
        <f t="shared" si="18"/>
        <v/>
      </c>
      <c r="AJ64" s="41" t="str">
        <f t="shared" si="18"/>
        <v/>
      </c>
      <c r="AK64" s="41" t="str">
        <f t="shared" si="18"/>
        <v/>
      </c>
      <c r="AL64" s="41" t="str">
        <f t="shared" si="18"/>
        <v/>
      </c>
      <c r="AM64" s="41" t="str">
        <f t="shared" si="18"/>
        <v/>
      </c>
      <c r="AN64" s="41" t="str">
        <f t="shared" si="18"/>
        <v/>
      </c>
      <c r="AO64" s="41" t="str">
        <f t="shared" si="18"/>
        <v/>
      </c>
      <c r="AP64" s="41" t="str">
        <f t="shared" si="18"/>
        <v/>
      </c>
      <c r="AQ64" s="41" t="str">
        <f t="shared" si="18"/>
        <v/>
      </c>
      <c r="AR64" s="41" t="str">
        <f t="shared" si="18"/>
        <v/>
      </c>
      <c r="AS64" s="41" t="str">
        <f t="shared" si="18"/>
        <v/>
      </c>
      <c r="AT64" s="41" t="str">
        <f t="shared" si="18"/>
        <v/>
      </c>
      <c r="AU64" s="23"/>
      <c r="AV64" s="23"/>
      <c r="AW64" s="23"/>
      <c r="AX64" s="23"/>
      <c r="AY64" s="23"/>
      <c r="AZ64" s="23"/>
      <c r="BA64" s="23"/>
      <c r="BB64" s="23"/>
      <c r="BC64" s="23"/>
      <c r="BD64" s="23"/>
      <c r="BE64" s="23"/>
      <c r="BF64" s="23"/>
      <c r="BG64" s="23"/>
      <c r="BH64" s="23"/>
      <c r="BI64" s="23"/>
      <c r="BJ64" s="23"/>
      <c r="BK64" s="23"/>
      <c r="BL64" s="23"/>
      <c r="BM64" s="24"/>
    </row>
    <row r="65" spans="1:65" ht="12.5" x14ac:dyDescent="0.25">
      <c r="A65" s="36">
        <v>38</v>
      </c>
      <c r="B65" s="35">
        <v>28848</v>
      </c>
      <c r="C65" s="41">
        <f t="shared" ref="C65:AT65" si="19">IF(C11=0, "", C11/$B11)</f>
        <v>55.238734054353856</v>
      </c>
      <c r="D65" s="41">
        <f t="shared" si="19"/>
        <v>47.540245424292848</v>
      </c>
      <c r="E65" s="41">
        <f t="shared" si="19"/>
        <v>42.338844980587908</v>
      </c>
      <c r="F65" s="41">
        <f t="shared" si="19"/>
        <v>39.207536051026068</v>
      </c>
      <c r="G65" s="41">
        <f t="shared" si="19"/>
        <v>36.009775374376041</v>
      </c>
      <c r="H65" s="41">
        <f t="shared" si="19"/>
        <v>34.071616749861342</v>
      </c>
      <c r="I65" s="41">
        <f t="shared" si="19"/>
        <v>28.939787853577371</v>
      </c>
      <c r="J65" s="41" t="str">
        <f t="shared" si="19"/>
        <v/>
      </c>
      <c r="K65" s="41" t="str">
        <f t="shared" si="19"/>
        <v/>
      </c>
      <c r="L65" s="41" t="str">
        <f t="shared" si="19"/>
        <v/>
      </c>
      <c r="M65" s="41" t="str">
        <f t="shared" si="19"/>
        <v/>
      </c>
      <c r="N65" s="41" t="str">
        <f t="shared" si="19"/>
        <v/>
      </c>
      <c r="O65" s="41" t="str">
        <f t="shared" si="19"/>
        <v/>
      </c>
      <c r="P65" s="41" t="str">
        <f t="shared" si="19"/>
        <v/>
      </c>
      <c r="Q65" s="41" t="str">
        <f t="shared" si="19"/>
        <v/>
      </c>
      <c r="R65" s="41" t="str">
        <f t="shared" si="19"/>
        <v/>
      </c>
      <c r="S65" s="41" t="str">
        <f t="shared" si="19"/>
        <v/>
      </c>
      <c r="T65" s="41" t="str">
        <f t="shared" si="19"/>
        <v/>
      </c>
      <c r="U65" s="41" t="str">
        <f t="shared" si="19"/>
        <v/>
      </c>
      <c r="V65" s="41" t="str">
        <f t="shared" si="19"/>
        <v/>
      </c>
      <c r="W65" s="41" t="str">
        <f t="shared" si="19"/>
        <v/>
      </c>
      <c r="X65" s="41" t="str">
        <f t="shared" si="19"/>
        <v/>
      </c>
      <c r="Y65" s="41" t="str">
        <f t="shared" si="19"/>
        <v/>
      </c>
      <c r="Z65" s="41" t="str">
        <f t="shared" si="19"/>
        <v/>
      </c>
      <c r="AA65" s="41" t="str">
        <f t="shared" si="19"/>
        <v/>
      </c>
      <c r="AB65" s="41" t="str">
        <f t="shared" si="19"/>
        <v/>
      </c>
      <c r="AC65" s="41" t="str">
        <f t="shared" si="19"/>
        <v/>
      </c>
      <c r="AD65" s="41" t="str">
        <f t="shared" si="19"/>
        <v/>
      </c>
      <c r="AE65" s="41" t="str">
        <f t="shared" si="19"/>
        <v/>
      </c>
      <c r="AF65" s="41" t="str">
        <f t="shared" si="19"/>
        <v/>
      </c>
      <c r="AG65" s="41" t="str">
        <f t="shared" si="19"/>
        <v/>
      </c>
      <c r="AH65" s="41" t="str">
        <f t="shared" si="19"/>
        <v/>
      </c>
      <c r="AI65" s="41" t="str">
        <f t="shared" si="19"/>
        <v/>
      </c>
      <c r="AJ65" s="41" t="str">
        <f t="shared" si="19"/>
        <v/>
      </c>
      <c r="AK65" s="41" t="str">
        <f t="shared" si="19"/>
        <v/>
      </c>
      <c r="AL65" s="41" t="str">
        <f t="shared" si="19"/>
        <v/>
      </c>
      <c r="AM65" s="41" t="str">
        <f t="shared" si="19"/>
        <v/>
      </c>
      <c r="AN65" s="41" t="str">
        <f t="shared" si="19"/>
        <v/>
      </c>
      <c r="AO65" s="41" t="str">
        <f t="shared" si="19"/>
        <v/>
      </c>
      <c r="AP65" s="41" t="str">
        <f t="shared" si="19"/>
        <v/>
      </c>
      <c r="AQ65" s="41" t="str">
        <f t="shared" si="19"/>
        <v/>
      </c>
      <c r="AR65" s="41" t="str">
        <f t="shared" si="19"/>
        <v/>
      </c>
      <c r="AS65" s="41" t="str">
        <f t="shared" si="19"/>
        <v/>
      </c>
      <c r="AT65" s="41" t="str">
        <f t="shared" si="19"/>
        <v/>
      </c>
      <c r="AU65" s="23"/>
      <c r="AV65" s="23"/>
      <c r="AW65" s="23"/>
      <c r="AX65" s="23"/>
      <c r="AY65" s="23"/>
      <c r="AZ65" s="23"/>
      <c r="BA65" s="23"/>
      <c r="BB65" s="23"/>
      <c r="BC65" s="23"/>
      <c r="BD65" s="23"/>
      <c r="BE65" s="23"/>
      <c r="BF65" s="23"/>
      <c r="BG65" s="23"/>
      <c r="BH65" s="23"/>
      <c r="BI65" s="23"/>
      <c r="BJ65" s="23"/>
      <c r="BK65" s="23"/>
      <c r="BL65" s="23"/>
      <c r="BM65" s="24"/>
    </row>
    <row r="66" spans="1:65" ht="12.5" x14ac:dyDescent="0.25">
      <c r="A66" s="36">
        <v>37</v>
      </c>
      <c r="B66" s="35">
        <v>28741</v>
      </c>
      <c r="C66" s="41">
        <f t="shared" ref="C66:AT66" si="20">IF(C12=0, "", C12/$B12)</f>
        <v>45.137608294770537</v>
      </c>
      <c r="D66" s="41">
        <f t="shared" si="20"/>
        <v>38.180717441981841</v>
      </c>
      <c r="E66" s="41">
        <f t="shared" si="20"/>
        <v>34.550607146585016</v>
      </c>
      <c r="F66" s="41">
        <f t="shared" si="20"/>
        <v>31.340489196618073</v>
      </c>
      <c r="G66" s="41">
        <f t="shared" si="20"/>
        <v>28.647924567690755</v>
      </c>
      <c r="H66" s="41">
        <f t="shared" si="20"/>
        <v>26.080616540830174</v>
      </c>
      <c r="I66" s="41">
        <f t="shared" si="20"/>
        <v>25.279148255105945</v>
      </c>
      <c r="J66" s="41">
        <f t="shared" si="20"/>
        <v>20.701054243067396</v>
      </c>
      <c r="K66" s="41" t="str">
        <f t="shared" si="20"/>
        <v/>
      </c>
      <c r="L66" s="41" t="str">
        <f t="shared" si="20"/>
        <v/>
      </c>
      <c r="M66" s="41" t="str">
        <f t="shared" si="20"/>
        <v/>
      </c>
      <c r="N66" s="41" t="str">
        <f t="shared" si="20"/>
        <v/>
      </c>
      <c r="O66" s="41" t="str">
        <f t="shared" si="20"/>
        <v/>
      </c>
      <c r="P66" s="41" t="str">
        <f t="shared" si="20"/>
        <v/>
      </c>
      <c r="Q66" s="41" t="str">
        <f t="shared" si="20"/>
        <v/>
      </c>
      <c r="R66" s="41" t="str">
        <f t="shared" si="20"/>
        <v/>
      </c>
      <c r="S66" s="41" t="str">
        <f t="shared" si="20"/>
        <v/>
      </c>
      <c r="T66" s="41" t="str">
        <f t="shared" si="20"/>
        <v/>
      </c>
      <c r="U66" s="41" t="str">
        <f t="shared" si="20"/>
        <v/>
      </c>
      <c r="V66" s="41" t="str">
        <f t="shared" si="20"/>
        <v/>
      </c>
      <c r="W66" s="41" t="str">
        <f t="shared" si="20"/>
        <v/>
      </c>
      <c r="X66" s="41" t="str">
        <f t="shared" si="20"/>
        <v/>
      </c>
      <c r="Y66" s="41" t="str">
        <f t="shared" si="20"/>
        <v/>
      </c>
      <c r="Z66" s="41" t="str">
        <f t="shared" si="20"/>
        <v/>
      </c>
      <c r="AA66" s="41" t="str">
        <f t="shared" si="20"/>
        <v/>
      </c>
      <c r="AB66" s="41" t="str">
        <f t="shared" si="20"/>
        <v/>
      </c>
      <c r="AC66" s="41" t="str">
        <f t="shared" si="20"/>
        <v/>
      </c>
      <c r="AD66" s="41" t="str">
        <f t="shared" si="20"/>
        <v/>
      </c>
      <c r="AE66" s="41" t="str">
        <f t="shared" si="20"/>
        <v/>
      </c>
      <c r="AF66" s="41" t="str">
        <f t="shared" si="20"/>
        <v/>
      </c>
      <c r="AG66" s="41" t="str">
        <f t="shared" si="20"/>
        <v/>
      </c>
      <c r="AH66" s="41" t="str">
        <f t="shared" si="20"/>
        <v/>
      </c>
      <c r="AI66" s="41" t="str">
        <f t="shared" si="20"/>
        <v/>
      </c>
      <c r="AJ66" s="41" t="str">
        <f t="shared" si="20"/>
        <v/>
      </c>
      <c r="AK66" s="41" t="str">
        <f t="shared" si="20"/>
        <v/>
      </c>
      <c r="AL66" s="41" t="str">
        <f t="shared" si="20"/>
        <v/>
      </c>
      <c r="AM66" s="41" t="str">
        <f t="shared" si="20"/>
        <v/>
      </c>
      <c r="AN66" s="41" t="str">
        <f t="shared" si="20"/>
        <v/>
      </c>
      <c r="AO66" s="41" t="str">
        <f t="shared" si="20"/>
        <v/>
      </c>
      <c r="AP66" s="41" t="str">
        <f t="shared" si="20"/>
        <v/>
      </c>
      <c r="AQ66" s="41" t="str">
        <f t="shared" si="20"/>
        <v/>
      </c>
      <c r="AR66" s="41" t="str">
        <f t="shared" si="20"/>
        <v/>
      </c>
      <c r="AS66" s="41" t="str">
        <f t="shared" si="20"/>
        <v/>
      </c>
      <c r="AT66" s="41" t="str">
        <f t="shared" si="20"/>
        <v/>
      </c>
      <c r="AU66" s="23"/>
      <c r="AV66" s="23"/>
      <c r="AW66" s="23"/>
      <c r="AX66" s="23"/>
      <c r="AY66" s="23"/>
      <c r="AZ66" s="23"/>
      <c r="BA66" s="23"/>
      <c r="BB66" s="23"/>
      <c r="BC66" s="23"/>
      <c r="BD66" s="23"/>
      <c r="BE66" s="23"/>
      <c r="BF66" s="23"/>
      <c r="BG66" s="23"/>
      <c r="BH66" s="23"/>
      <c r="BI66" s="23"/>
      <c r="BJ66" s="23"/>
      <c r="BK66" s="23"/>
      <c r="BL66" s="23"/>
      <c r="BM66" s="24"/>
    </row>
    <row r="67" spans="1:65" ht="12.5" x14ac:dyDescent="0.25">
      <c r="A67" s="36">
        <v>36</v>
      </c>
      <c r="B67" s="35">
        <v>22074</v>
      </c>
      <c r="C67" s="41">
        <f t="shared" ref="C67:AT67" si="21">IF(C13=0, "", C13/$B13)</f>
        <v>51.419362145510554</v>
      </c>
      <c r="D67" s="41">
        <f t="shared" si="21"/>
        <v>44.731222252423663</v>
      </c>
      <c r="E67" s="41">
        <f t="shared" si="21"/>
        <v>40.319878590196609</v>
      </c>
      <c r="F67" s="41">
        <f t="shared" si="21"/>
        <v>37.982513364138804</v>
      </c>
      <c r="G67" s="41">
        <f t="shared" si="21"/>
        <v>33.846652169973723</v>
      </c>
      <c r="H67" s="41">
        <f t="shared" si="21"/>
        <v>31.689498958050194</v>
      </c>
      <c r="I67" s="41">
        <f t="shared" si="21"/>
        <v>29.703633233668569</v>
      </c>
      <c r="J67" s="41">
        <f t="shared" si="21"/>
        <v>28.102292289571441</v>
      </c>
      <c r="K67" s="41">
        <f t="shared" si="21"/>
        <v>24.270680438524963</v>
      </c>
      <c r="L67" s="41" t="str">
        <f t="shared" si="21"/>
        <v/>
      </c>
      <c r="M67" s="41" t="str">
        <f t="shared" si="21"/>
        <v/>
      </c>
      <c r="N67" s="41" t="str">
        <f t="shared" si="21"/>
        <v/>
      </c>
      <c r="O67" s="41" t="str">
        <f t="shared" si="21"/>
        <v/>
      </c>
      <c r="P67" s="41" t="str">
        <f t="shared" si="21"/>
        <v/>
      </c>
      <c r="Q67" s="41" t="str">
        <f t="shared" si="21"/>
        <v/>
      </c>
      <c r="R67" s="41" t="str">
        <f t="shared" si="21"/>
        <v/>
      </c>
      <c r="S67" s="41" t="str">
        <f t="shared" si="21"/>
        <v/>
      </c>
      <c r="T67" s="41" t="str">
        <f t="shared" si="21"/>
        <v/>
      </c>
      <c r="U67" s="41" t="str">
        <f t="shared" si="21"/>
        <v/>
      </c>
      <c r="V67" s="41" t="str">
        <f t="shared" si="21"/>
        <v/>
      </c>
      <c r="W67" s="41" t="str">
        <f t="shared" si="21"/>
        <v/>
      </c>
      <c r="X67" s="41" t="str">
        <f t="shared" si="21"/>
        <v/>
      </c>
      <c r="Y67" s="41" t="str">
        <f t="shared" si="21"/>
        <v/>
      </c>
      <c r="Z67" s="41" t="str">
        <f t="shared" si="21"/>
        <v/>
      </c>
      <c r="AA67" s="41" t="str">
        <f t="shared" si="21"/>
        <v/>
      </c>
      <c r="AB67" s="41" t="str">
        <f t="shared" si="21"/>
        <v/>
      </c>
      <c r="AC67" s="41" t="str">
        <f t="shared" si="21"/>
        <v/>
      </c>
      <c r="AD67" s="41" t="str">
        <f t="shared" si="21"/>
        <v/>
      </c>
      <c r="AE67" s="41" t="str">
        <f t="shared" si="21"/>
        <v/>
      </c>
      <c r="AF67" s="41" t="str">
        <f t="shared" si="21"/>
        <v/>
      </c>
      <c r="AG67" s="41" t="str">
        <f t="shared" si="21"/>
        <v/>
      </c>
      <c r="AH67" s="41" t="str">
        <f t="shared" si="21"/>
        <v/>
      </c>
      <c r="AI67" s="41" t="str">
        <f t="shared" si="21"/>
        <v/>
      </c>
      <c r="AJ67" s="41" t="str">
        <f t="shared" si="21"/>
        <v/>
      </c>
      <c r="AK67" s="41" t="str">
        <f t="shared" si="21"/>
        <v/>
      </c>
      <c r="AL67" s="41" t="str">
        <f t="shared" si="21"/>
        <v/>
      </c>
      <c r="AM67" s="41" t="str">
        <f t="shared" si="21"/>
        <v/>
      </c>
      <c r="AN67" s="41" t="str">
        <f t="shared" si="21"/>
        <v/>
      </c>
      <c r="AO67" s="41" t="str">
        <f t="shared" si="21"/>
        <v/>
      </c>
      <c r="AP67" s="41" t="str">
        <f t="shared" si="21"/>
        <v/>
      </c>
      <c r="AQ67" s="41" t="str">
        <f t="shared" si="21"/>
        <v/>
      </c>
      <c r="AR67" s="41" t="str">
        <f t="shared" si="21"/>
        <v/>
      </c>
      <c r="AS67" s="41" t="str">
        <f t="shared" si="21"/>
        <v/>
      </c>
      <c r="AT67" s="41" t="str">
        <f t="shared" si="21"/>
        <v/>
      </c>
      <c r="AU67" s="23"/>
      <c r="AV67" s="23"/>
      <c r="AW67" s="23"/>
      <c r="AX67" s="23"/>
      <c r="AY67" s="23"/>
      <c r="AZ67" s="23"/>
      <c r="BA67" s="23"/>
      <c r="BB67" s="23"/>
      <c r="BC67" s="23"/>
      <c r="BD67" s="23"/>
      <c r="BE67" s="23"/>
      <c r="BF67" s="23"/>
      <c r="BG67" s="23"/>
      <c r="BH67" s="23"/>
      <c r="BI67" s="23"/>
      <c r="BJ67" s="23"/>
      <c r="BK67" s="23"/>
      <c r="BL67" s="23"/>
      <c r="BM67" s="24"/>
    </row>
    <row r="68" spans="1:65" ht="12.5" x14ac:dyDescent="0.25">
      <c r="A68" s="36">
        <v>35</v>
      </c>
      <c r="B68" s="35">
        <v>24252</v>
      </c>
      <c r="C68" s="41">
        <f t="shared" ref="C68:AT68" si="22">IF(C14=0, "", C14/$B14)</f>
        <v>56.720105558304468</v>
      </c>
      <c r="D68" s="41">
        <f t="shared" si="22"/>
        <v>50.281131453076036</v>
      </c>
      <c r="E68" s="41">
        <f t="shared" si="22"/>
        <v>45.690211116608943</v>
      </c>
      <c r="F68" s="41">
        <f t="shared" si="22"/>
        <v>42.788264885370282</v>
      </c>
      <c r="G68" s="41">
        <f t="shared" si="22"/>
        <v>38.682376711199076</v>
      </c>
      <c r="H68" s="41">
        <f t="shared" si="22"/>
        <v>35.983094177799771</v>
      </c>
      <c r="I68" s="41">
        <f t="shared" si="22"/>
        <v>34.08061190829622</v>
      </c>
      <c r="J68" s="41">
        <f t="shared" si="22"/>
        <v>32.290120402441033</v>
      </c>
      <c r="K68" s="41">
        <f t="shared" si="22"/>
        <v>30.926892627412172</v>
      </c>
      <c r="L68" s="41">
        <f t="shared" si="22"/>
        <v>26.529028533729178</v>
      </c>
      <c r="M68" s="41" t="str">
        <f t="shared" si="22"/>
        <v/>
      </c>
      <c r="N68" s="41" t="str">
        <f t="shared" si="22"/>
        <v/>
      </c>
      <c r="O68" s="41" t="str">
        <f t="shared" si="22"/>
        <v/>
      </c>
      <c r="P68" s="41" t="str">
        <f t="shared" si="22"/>
        <v/>
      </c>
      <c r="Q68" s="41" t="str">
        <f t="shared" si="22"/>
        <v/>
      </c>
      <c r="R68" s="41" t="str">
        <f t="shared" si="22"/>
        <v/>
      </c>
      <c r="S68" s="41" t="str">
        <f t="shared" si="22"/>
        <v/>
      </c>
      <c r="T68" s="41" t="str">
        <f t="shared" si="22"/>
        <v/>
      </c>
      <c r="U68" s="41" t="str">
        <f t="shared" si="22"/>
        <v/>
      </c>
      <c r="V68" s="41" t="str">
        <f t="shared" si="22"/>
        <v/>
      </c>
      <c r="W68" s="41" t="str">
        <f t="shared" si="22"/>
        <v/>
      </c>
      <c r="X68" s="41" t="str">
        <f t="shared" si="22"/>
        <v/>
      </c>
      <c r="Y68" s="41" t="str">
        <f t="shared" si="22"/>
        <v/>
      </c>
      <c r="Z68" s="41" t="str">
        <f t="shared" si="22"/>
        <v/>
      </c>
      <c r="AA68" s="41" t="str">
        <f t="shared" si="22"/>
        <v/>
      </c>
      <c r="AB68" s="41" t="str">
        <f t="shared" si="22"/>
        <v/>
      </c>
      <c r="AC68" s="41" t="str">
        <f t="shared" si="22"/>
        <v/>
      </c>
      <c r="AD68" s="41" t="str">
        <f t="shared" si="22"/>
        <v/>
      </c>
      <c r="AE68" s="41" t="str">
        <f t="shared" si="22"/>
        <v/>
      </c>
      <c r="AF68" s="41" t="str">
        <f t="shared" si="22"/>
        <v/>
      </c>
      <c r="AG68" s="41" t="str">
        <f t="shared" si="22"/>
        <v/>
      </c>
      <c r="AH68" s="41" t="str">
        <f t="shared" si="22"/>
        <v/>
      </c>
      <c r="AI68" s="41" t="str">
        <f t="shared" si="22"/>
        <v/>
      </c>
      <c r="AJ68" s="41" t="str">
        <f t="shared" si="22"/>
        <v/>
      </c>
      <c r="AK68" s="41" t="str">
        <f t="shared" si="22"/>
        <v/>
      </c>
      <c r="AL68" s="41" t="str">
        <f t="shared" si="22"/>
        <v/>
      </c>
      <c r="AM68" s="41" t="str">
        <f t="shared" si="22"/>
        <v/>
      </c>
      <c r="AN68" s="41" t="str">
        <f t="shared" si="22"/>
        <v/>
      </c>
      <c r="AO68" s="41" t="str">
        <f t="shared" si="22"/>
        <v/>
      </c>
      <c r="AP68" s="41" t="str">
        <f t="shared" si="22"/>
        <v/>
      </c>
      <c r="AQ68" s="41" t="str">
        <f t="shared" si="22"/>
        <v/>
      </c>
      <c r="AR68" s="41" t="str">
        <f t="shared" si="22"/>
        <v/>
      </c>
      <c r="AS68" s="41" t="str">
        <f t="shared" si="22"/>
        <v/>
      </c>
      <c r="AT68" s="41" t="str">
        <f t="shared" si="22"/>
        <v/>
      </c>
      <c r="AU68" s="23"/>
      <c r="AV68" s="23"/>
      <c r="AW68" s="23"/>
      <c r="AX68" s="23"/>
      <c r="AY68" s="23"/>
      <c r="AZ68" s="23"/>
      <c r="BA68" s="23"/>
      <c r="BB68" s="23"/>
      <c r="BC68" s="23"/>
      <c r="BD68" s="23"/>
      <c r="BE68" s="23"/>
      <c r="BF68" s="23"/>
      <c r="BG68" s="23"/>
      <c r="BH68" s="23"/>
      <c r="BI68" s="23"/>
      <c r="BJ68" s="23"/>
      <c r="BK68" s="23"/>
      <c r="BL68" s="23"/>
      <c r="BM68" s="24"/>
    </row>
    <row r="69" spans="1:65" ht="12.5" x14ac:dyDescent="0.25">
      <c r="A69" s="36">
        <v>34</v>
      </c>
      <c r="B69" s="35">
        <v>28525</v>
      </c>
      <c r="C69" s="41">
        <f t="shared" ref="C69:AT69" si="23">IF(C15=0, "", C15/$B15)</f>
        <v>58.870850131463627</v>
      </c>
      <c r="D69" s="41">
        <f t="shared" si="23"/>
        <v>52.291428571428568</v>
      </c>
      <c r="E69" s="41">
        <f t="shared" si="23"/>
        <v>48.233409290096404</v>
      </c>
      <c r="F69" s="41">
        <f t="shared" si="23"/>
        <v>45.311130587204204</v>
      </c>
      <c r="G69" s="41">
        <f t="shared" si="23"/>
        <v>41.759368974583701</v>
      </c>
      <c r="H69" s="41">
        <f t="shared" si="23"/>
        <v>38.830429447852758</v>
      </c>
      <c r="I69" s="41">
        <f t="shared" si="23"/>
        <v>35.977248028045572</v>
      </c>
      <c r="J69" s="41">
        <f t="shared" si="23"/>
        <v>34.50773006134969</v>
      </c>
      <c r="K69" s="41">
        <f t="shared" si="23"/>
        <v>33.009780893952673</v>
      </c>
      <c r="L69" s="41">
        <f t="shared" si="23"/>
        <v>31.510078878177037</v>
      </c>
      <c r="M69" s="41">
        <f t="shared" si="23"/>
        <v>27.640070113935145</v>
      </c>
      <c r="N69" s="41" t="str">
        <f t="shared" si="23"/>
        <v/>
      </c>
      <c r="O69" s="41" t="str">
        <f t="shared" si="23"/>
        <v/>
      </c>
      <c r="P69" s="41" t="str">
        <f t="shared" si="23"/>
        <v/>
      </c>
      <c r="Q69" s="41" t="str">
        <f t="shared" si="23"/>
        <v/>
      </c>
      <c r="R69" s="41" t="str">
        <f t="shared" si="23"/>
        <v/>
      </c>
      <c r="S69" s="41" t="str">
        <f t="shared" si="23"/>
        <v/>
      </c>
      <c r="T69" s="41" t="str">
        <f t="shared" si="23"/>
        <v/>
      </c>
      <c r="U69" s="41" t="str">
        <f t="shared" si="23"/>
        <v/>
      </c>
      <c r="V69" s="41" t="str">
        <f t="shared" si="23"/>
        <v/>
      </c>
      <c r="W69" s="41" t="str">
        <f t="shared" si="23"/>
        <v/>
      </c>
      <c r="X69" s="41" t="str">
        <f t="shared" si="23"/>
        <v/>
      </c>
      <c r="Y69" s="41" t="str">
        <f t="shared" si="23"/>
        <v/>
      </c>
      <c r="Z69" s="41" t="str">
        <f t="shared" si="23"/>
        <v/>
      </c>
      <c r="AA69" s="41" t="str">
        <f t="shared" si="23"/>
        <v/>
      </c>
      <c r="AB69" s="41" t="str">
        <f t="shared" si="23"/>
        <v/>
      </c>
      <c r="AC69" s="41" t="str">
        <f t="shared" si="23"/>
        <v/>
      </c>
      <c r="AD69" s="41" t="str">
        <f t="shared" si="23"/>
        <v/>
      </c>
      <c r="AE69" s="41" t="str">
        <f t="shared" si="23"/>
        <v/>
      </c>
      <c r="AF69" s="41" t="str">
        <f t="shared" si="23"/>
        <v/>
      </c>
      <c r="AG69" s="41" t="str">
        <f t="shared" si="23"/>
        <v/>
      </c>
      <c r="AH69" s="41" t="str">
        <f t="shared" si="23"/>
        <v/>
      </c>
      <c r="AI69" s="41" t="str">
        <f t="shared" si="23"/>
        <v/>
      </c>
      <c r="AJ69" s="41" t="str">
        <f t="shared" si="23"/>
        <v/>
      </c>
      <c r="AK69" s="41" t="str">
        <f t="shared" si="23"/>
        <v/>
      </c>
      <c r="AL69" s="41" t="str">
        <f t="shared" si="23"/>
        <v/>
      </c>
      <c r="AM69" s="41" t="str">
        <f t="shared" si="23"/>
        <v/>
      </c>
      <c r="AN69" s="41" t="str">
        <f t="shared" si="23"/>
        <v/>
      </c>
      <c r="AO69" s="41" t="str">
        <f t="shared" si="23"/>
        <v/>
      </c>
      <c r="AP69" s="41" t="str">
        <f t="shared" si="23"/>
        <v/>
      </c>
      <c r="AQ69" s="41" t="str">
        <f t="shared" si="23"/>
        <v/>
      </c>
      <c r="AR69" s="41" t="str">
        <f t="shared" si="23"/>
        <v/>
      </c>
      <c r="AS69" s="41" t="str">
        <f t="shared" si="23"/>
        <v/>
      </c>
      <c r="AT69" s="41" t="str">
        <f t="shared" si="23"/>
        <v/>
      </c>
      <c r="AU69" s="23"/>
      <c r="AV69" s="23"/>
      <c r="AW69" s="23"/>
      <c r="AX69" s="23"/>
      <c r="AY69" s="23"/>
      <c r="AZ69" s="23"/>
      <c r="BA69" s="23"/>
      <c r="BB69" s="23"/>
      <c r="BC69" s="23"/>
      <c r="BD69" s="23"/>
      <c r="BE69" s="23"/>
      <c r="BF69" s="23"/>
      <c r="BG69" s="23"/>
      <c r="BH69" s="23"/>
      <c r="BI69" s="23"/>
      <c r="BJ69" s="23"/>
      <c r="BK69" s="23"/>
      <c r="BL69" s="23"/>
      <c r="BM69" s="24"/>
    </row>
    <row r="70" spans="1:65" ht="12.5" x14ac:dyDescent="0.25">
      <c r="A70" s="36">
        <v>33</v>
      </c>
      <c r="B70" s="35">
        <v>30221</v>
      </c>
      <c r="C70" s="41">
        <f t="shared" ref="C70:AT70" si="24">IF(C16=0, "", C16/$B16)</f>
        <v>60.51086992488667</v>
      </c>
      <c r="D70" s="41">
        <f t="shared" si="24"/>
        <v>53.331855332384762</v>
      </c>
      <c r="E70" s="41">
        <f t="shared" si="24"/>
        <v>49.047318090069822</v>
      </c>
      <c r="F70" s="41">
        <f t="shared" si="24"/>
        <v>46.841600211773269</v>
      </c>
      <c r="G70" s="41">
        <f t="shared" si="24"/>
        <v>43.810926177161576</v>
      </c>
      <c r="H70" s="41">
        <f t="shared" si="24"/>
        <v>40.857317759174087</v>
      </c>
      <c r="I70" s="41">
        <f t="shared" si="24"/>
        <v>38.269150590648884</v>
      </c>
      <c r="J70" s="41">
        <f t="shared" si="24"/>
        <v>35.917739320340161</v>
      </c>
      <c r="K70" s="41">
        <f t="shared" si="24"/>
        <v>34.000198537440852</v>
      </c>
      <c r="L70" s="41">
        <f t="shared" si="24"/>
        <v>32.308527183084607</v>
      </c>
      <c r="M70" s="41">
        <f t="shared" si="24"/>
        <v>31.398696270805068</v>
      </c>
      <c r="N70" s="41">
        <f t="shared" si="24"/>
        <v>27.291386784024354</v>
      </c>
      <c r="O70" s="41" t="str">
        <f t="shared" si="24"/>
        <v/>
      </c>
      <c r="P70" s="41" t="str">
        <f t="shared" si="24"/>
        <v/>
      </c>
      <c r="Q70" s="41" t="str">
        <f t="shared" si="24"/>
        <v/>
      </c>
      <c r="R70" s="41" t="str">
        <f t="shared" si="24"/>
        <v/>
      </c>
      <c r="S70" s="41" t="str">
        <f t="shared" si="24"/>
        <v/>
      </c>
      <c r="T70" s="41" t="str">
        <f t="shared" si="24"/>
        <v/>
      </c>
      <c r="U70" s="41" t="str">
        <f t="shared" si="24"/>
        <v/>
      </c>
      <c r="V70" s="41" t="str">
        <f t="shared" si="24"/>
        <v/>
      </c>
      <c r="W70" s="41" t="str">
        <f t="shared" si="24"/>
        <v/>
      </c>
      <c r="X70" s="41" t="str">
        <f t="shared" si="24"/>
        <v/>
      </c>
      <c r="Y70" s="41" t="str">
        <f t="shared" si="24"/>
        <v/>
      </c>
      <c r="Z70" s="41" t="str">
        <f t="shared" si="24"/>
        <v/>
      </c>
      <c r="AA70" s="41" t="str">
        <f t="shared" si="24"/>
        <v/>
      </c>
      <c r="AB70" s="41" t="str">
        <f t="shared" si="24"/>
        <v/>
      </c>
      <c r="AC70" s="41" t="str">
        <f t="shared" si="24"/>
        <v/>
      </c>
      <c r="AD70" s="41" t="str">
        <f t="shared" si="24"/>
        <v/>
      </c>
      <c r="AE70" s="41" t="str">
        <f t="shared" si="24"/>
        <v/>
      </c>
      <c r="AF70" s="41" t="str">
        <f t="shared" si="24"/>
        <v/>
      </c>
      <c r="AG70" s="41" t="str">
        <f t="shared" si="24"/>
        <v/>
      </c>
      <c r="AH70" s="41" t="str">
        <f t="shared" si="24"/>
        <v/>
      </c>
      <c r="AI70" s="41" t="str">
        <f t="shared" si="24"/>
        <v/>
      </c>
      <c r="AJ70" s="41" t="str">
        <f t="shared" si="24"/>
        <v/>
      </c>
      <c r="AK70" s="41" t="str">
        <f t="shared" si="24"/>
        <v/>
      </c>
      <c r="AL70" s="41" t="str">
        <f t="shared" si="24"/>
        <v/>
      </c>
      <c r="AM70" s="41" t="str">
        <f t="shared" si="24"/>
        <v/>
      </c>
      <c r="AN70" s="41" t="str">
        <f t="shared" si="24"/>
        <v/>
      </c>
      <c r="AO70" s="41" t="str">
        <f t="shared" si="24"/>
        <v/>
      </c>
      <c r="AP70" s="41" t="str">
        <f t="shared" si="24"/>
        <v/>
      </c>
      <c r="AQ70" s="41" t="str">
        <f t="shared" si="24"/>
        <v/>
      </c>
      <c r="AR70" s="41" t="str">
        <f t="shared" si="24"/>
        <v/>
      </c>
      <c r="AS70" s="41" t="str">
        <f t="shared" si="24"/>
        <v/>
      </c>
      <c r="AT70" s="41" t="str">
        <f t="shared" si="24"/>
        <v/>
      </c>
      <c r="AU70" s="23"/>
      <c r="AV70" s="23"/>
      <c r="AW70" s="23"/>
      <c r="AX70" s="23"/>
      <c r="AY70" s="23"/>
      <c r="AZ70" s="23"/>
      <c r="BA70" s="23"/>
      <c r="BB70" s="23"/>
      <c r="BC70" s="23"/>
      <c r="BD70" s="23"/>
      <c r="BE70" s="23"/>
      <c r="BF70" s="23"/>
      <c r="BG70" s="23"/>
      <c r="BH70" s="23"/>
      <c r="BI70" s="23"/>
      <c r="BJ70" s="23"/>
      <c r="BK70" s="23"/>
      <c r="BL70" s="23"/>
      <c r="BM70" s="24"/>
    </row>
    <row r="71" spans="1:65" ht="12.5" x14ac:dyDescent="0.25">
      <c r="A71" s="36">
        <v>32</v>
      </c>
      <c r="B71" s="35">
        <v>26927</v>
      </c>
      <c r="C71" s="41">
        <f t="shared" ref="C71:AT71" si="25">IF(C17=0, "", C17/$B17)</f>
        <v>58.680952204107399</v>
      </c>
      <c r="D71" s="41">
        <f t="shared" si="25"/>
        <v>52.238793775764101</v>
      </c>
      <c r="E71" s="41">
        <f t="shared" si="25"/>
        <v>48.400007427489136</v>
      </c>
      <c r="F71" s="41">
        <f t="shared" si="25"/>
        <v>45.549485646377242</v>
      </c>
      <c r="G71" s="41">
        <f t="shared" si="25"/>
        <v>42.801054703457496</v>
      </c>
      <c r="H71" s="41">
        <f t="shared" si="25"/>
        <v>39.978311731719096</v>
      </c>
      <c r="I71" s="41">
        <f t="shared" si="25"/>
        <v>38.270657704163106</v>
      </c>
      <c r="J71" s="41">
        <f t="shared" si="25"/>
        <v>35.329260593456382</v>
      </c>
      <c r="K71" s="41">
        <f t="shared" si="25"/>
        <v>33.231366286626809</v>
      </c>
      <c r="L71" s="41">
        <f t="shared" si="25"/>
        <v>31.918743268837968</v>
      </c>
      <c r="M71" s="41">
        <f t="shared" si="25"/>
        <v>30.169792401678613</v>
      </c>
      <c r="N71" s="41">
        <f t="shared" si="25"/>
        <v>29.080476844802615</v>
      </c>
      <c r="O71" s="41">
        <f t="shared" si="25"/>
        <v>25.279682103464925</v>
      </c>
      <c r="P71" s="41" t="str">
        <f t="shared" si="25"/>
        <v/>
      </c>
      <c r="Q71" s="41" t="str">
        <f t="shared" si="25"/>
        <v/>
      </c>
      <c r="R71" s="41" t="str">
        <f t="shared" si="25"/>
        <v/>
      </c>
      <c r="S71" s="41" t="str">
        <f t="shared" si="25"/>
        <v/>
      </c>
      <c r="T71" s="41" t="str">
        <f t="shared" si="25"/>
        <v/>
      </c>
      <c r="U71" s="41" t="str">
        <f t="shared" si="25"/>
        <v/>
      </c>
      <c r="V71" s="41" t="str">
        <f t="shared" si="25"/>
        <v/>
      </c>
      <c r="W71" s="41" t="str">
        <f t="shared" si="25"/>
        <v/>
      </c>
      <c r="X71" s="41" t="str">
        <f t="shared" si="25"/>
        <v/>
      </c>
      <c r="Y71" s="41" t="str">
        <f t="shared" si="25"/>
        <v/>
      </c>
      <c r="Z71" s="41" t="str">
        <f t="shared" si="25"/>
        <v/>
      </c>
      <c r="AA71" s="41" t="str">
        <f t="shared" si="25"/>
        <v/>
      </c>
      <c r="AB71" s="41" t="str">
        <f t="shared" si="25"/>
        <v/>
      </c>
      <c r="AC71" s="41" t="str">
        <f t="shared" si="25"/>
        <v/>
      </c>
      <c r="AD71" s="41" t="str">
        <f t="shared" si="25"/>
        <v/>
      </c>
      <c r="AE71" s="41" t="str">
        <f t="shared" si="25"/>
        <v/>
      </c>
      <c r="AF71" s="41" t="str">
        <f t="shared" si="25"/>
        <v/>
      </c>
      <c r="AG71" s="41" t="str">
        <f t="shared" si="25"/>
        <v/>
      </c>
      <c r="AH71" s="41" t="str">
        <f t="shared" si="25"/>
        <v/>
      </c>
      <c r="AI71" s="41" t="str">
        <f t="shared" si="25"/>
        <v/>
      </c>
      <c r="AJ71" s="41" t="str">
        <f t="shared" si="25"/>
        <v/>
      </c>
      <c r="AK71" s="41" t="str">
        <f t="shared" si="25"/>
        <v/>
      </c>
      <c r="AL71" s="41" t="str">
        <f t="shared" si="25"/>
        <v/>
      </c>
      <c r="AM71" s="41" t="str">
        <f t="shared" si="25"/>
        <v/>
      </c>
      <c r="AN71" s="41" t="str">
        <f t="shared" si="25"/>
        <v/>
      </c>
      <c r="AO71" s="41" t="str">
        <f t="shared" si="25"/>
        <v/>
      </c>
      <c r="AP71" s="41" t="str">
        <f t="shared" si="25"/>
        <v/>
      </c>
      <c r="AQ71" s="41" t="str">
        <f t="shared" si="25"/>
        <v/>
      </c>
      <c r="AR71" s="41" t="str">
        <f t="shared" si="25"/>
        <v/>
      </c>
      <c r="AS71" s="41" t="str">
        <f t="shared" si="25"/>
        <v/>
      </c>
      <c r="AT71" s="41" t="str">
        <f t="shared" si="25"/>
        <v/>
      </c>
      <c r="AU71" s="23"/>
      <c r="AV71" s="23"/>
      <c r="AW71" s="23"/>
      <c r="AX71" s="23"/>
      <c r="AY71" s="23"/>
      <c r="AZ71" s="23"/>
      <c r="BA71" s="23"/>
      <c r="BB71" s="23"/>
      <c r="BC71" s="23"/>
      <c r="BD71" s="23"/>
      <c r="BE71" s="23"/>
      <c r="BF71" s="23"/>
      <c r="BG71" s="23"/>
      <c r="BH71" s="23"/>
      <c r="BI71" s="23"/>
      <c r="BJ71" s="23"/>
      <c r="BK71" s="23"/>
      <c r="BL71" s="23"/>
      <c r="BM71" s="24"/>
    </row>
    <row r="72" spans="1:65" ht="12.5" x14ac:dyDescent="0.25">
      <c r="A72" s="36">
        <v>31</v>
      </c>
      <c r="B72" s="35">
        <v>26498</v>
      </c>
      <c r="C72" s="41">
        <f t="shared" ref="C72:AT72" si="26">IF(C18=0, "", C18/$B18)</f>
        <v>86.008566684278065</v>
      </c>
      <c r="D72" s="41">
        <f t="shared" si="26"/>
        <v>78.117140916295568</v>
      </c>
      <c r="E72" s="41">
        <f t="shared" si="26"/>
        <v>72.16303117216394</v>
      </c>
      <c r="F72" s="41">
        <f t="shared" si="26"/>
        <v>67.468941052154875</v>
      </c>
      <c r="G72" s="41">
        <f t="shared" si="26"/>
        <v>63.179258811985811</v>
      </c>
      <c r="H72" s="41">
        <f t="shared" si="26"/>
        <v>59.943014567137141</v>
      </c>
      <c r="I72" s="41">
        <f t="shared" si="26"/>
        <v>57.113933127028453</v>
      </c>
      <c r="J72" s="41">
        <f t="shared" si="26"/>
        <v>54.016416333308172</v>
      </c>
      <c r="K72" s="41">
        <f t="shared" si="26"/>
        <v>50.607479809796963</v>
      </c>
      <c r="L72" s="41">
        <f t="shared" si="26"/>
        <v>47.641180466450301</v>
      </c>
      <c r="M72" s="41">
        <f t="shared" si="26"/>
        <v>46.106611819759983</v>
      </c>
      <c r="N72" s="41">
        <f t="shared" si="26"/>
        <v>43.83338365159635</v>
      </c>
      <c r="O72" s="41">
        <f t="shared" si="26"/>
        <v>42.389010491357837</v>
      </c>
      <c r="P72" s="41">
        <f t="shared" si="26"/>
        <v>37.27685108310061</v>
      </c>
      <c r="Q72" s="41" t="str">
        <f t="shared" si="26"/>
        <v/>
      </c>
      <c r="R72" s="41" t="str">
        <f t="shared" si="26"/>
        <v/>
      </c>
      <c r="S72" s="41" t="str">
        <f t="shared" si="26"/>
        <v/>
      </c>
      <c r="T72" s="41" t="str">
        <f t="shared" si="26"/>
        <v/>
      </c>
      <c r="U72" s="41" t="str">
        <f t="shared" si="26"/>
        <v/>
      </c>
      <c r="V72" s="41" t="str">
        <f t="shared" si="26"/>
        <v/>
      </c>
      <c r="W72" s="41" t="str">
        <f t="shared" si="26"/>
        <v/>
      </c>
      <c r="X72" s="41" t="str">
        <f t="shared" si="26"/>
        <v/>
      </c>
      <c r="Y72" s="41" t="str">
        <f t="shared" si="26"/>
        <v/>
      </c>
      <c r="Z72" s="41" t="str">
        <f t="shared" si="26"/>
        <v/>
      </c>
      <c r="AA72" s="41" t="str">
        <f t="shared" si="26"/>
        <v/>
      </c>
      <c r="AB72" s="41" t="str">
        <f t="shared" si="26"/>
        <v/>
      </c>
      <c r="AC72" s="41" t="str">
        <f t="shared" si="26"/>
        <v/>
      </c>
      <c r="AD72" s="41" t="str">
        <f t="shared" si="26"/>
        <v/>
      </c>
      <c r="AE72" s="41" t="str">
        <f t="shared" si="26"/>
        <v/>
      </c>
      <c r="AF72" s="41" t="str">
        <f t="shared" si="26"/>
        <v/>
      </c>
      <c r="AG72" s="41" t="str">
        <f t="shared" si="26"/>
        <v/>
      </c>
      <c r="AH72" s="41" t="str">
        <f t="shared" si="26"/>
        <v/>
      </c>
      <c r="AI72" s="41" t="str">
        <f t="shared" si="26"/>
        <v/>
      </c>
      <c r="AJ72" s="41" t="str">
        <f t="shared" si="26"/>
        <v/>
      </c>
      <c r="AK72" s="41" t="str">
        <f t="shared" si="26"/>
        <v/>
      </c>
      <c r="AL72" s="41" t="str">
        <f t="shared" si="26"/>
        <v/>
      </c>
      <c r="AM72" s="41" t="str">
        <f t="shared" si="26"/>
        <v/>
      </c>
      <c r="AN72" s="41" t="str">
        <f t="shared" si="26"/>
        <v/>
      </c>
      <c r="AO72" s="41" t="str">
        <f t="shared" si="26"/>
        <v/>
      </c>
      <c r="AP72" s="41" t="str">
        <f t="shared" si="26"/>
        <v/>
      </c>
      <c r="AQ72" s="41" t="str">
        <f t="shared" si="26"/>
        <v/>
      </c>
      <c r="AR72" s="41" t="str">
        <f t="shared" si="26"/>
        <v/>
      </c>
      <c r="AS72" s="41" t="str">
        <f t="shared" si="26"/>
        <v/>
      </c>
      <c r="AT72" s="41" t="str">
        <f t="shared" si="26"/>
        <v/>
      </c>
      <c r="AU72" s="23"/>
      <c r="AV72" s="23"/>
      <c r="AW72" s="23"/>
      <c r="AX72" s="23"/>
      <c r="AY72" s="23"/>
      <c r="AZ72" s="23"/>
      <c r="BA72" s="23"/>
      <c r="BB72" s="23"/>
      <c r="BC72" s="23"/>
      <c r="BD72" s="23"/>
      <c r="BE72" s="23"/>
      <c r="BF72" s="23"/>
      <c r="BG72" s="23"/>
      <c r="BH72" s="23"/>
      <c r="BI72" s="23"/>
      <c r="BJ72" s="23"/>
      <c r="BK72" s="23"/>
      <c r="BL72" s="23"/>
      <c r="BM72" s="24"/>
    </row>
    <row r="73" spans="1:65" ht="12.5" x14ac:dyDescent="0.25">
      <c r="A73" s="36">
        <v>30</v>
      </c>
      <c r="B73" s="35">
        <v>27814</v>
      </c>
      <c r="C73" s="41">
        <f t="shared" ref="C73:AT73" si="27">IF(C19=0, "", C19/$B19)</f>
        <v>83.61256920975049</v>
      </c>
      <c r="D73" s="41">
        <f t="shared" si="27"/>
        <v>75.887394837132376</v>
      </c>
      <c r="E73" s="41">
        <f t="shared" si="27"/>
        <v>71.193535629539085</v>
      </c>
      <c r="F73" s="41">
        <f t="shared" si="27"/>
        <v>67.619616020708989</v>
      </c>
      <c r="G73" s="41">
        <f t="shared" si="27"/>
        <v>62.502516718199466</v>
      </c>
      <c r="H73" s="41">
        <f t="shared" si="27"/>
        <v>58.63119292442655</v>
      </c>
      <c r="I73" s="41">
        <f t="shared" si="27"/>
        <v>56.41317322211836</v>
      </c>
      <c r="J73" s="41">
        <f t="shared" si="27"/>
        <v>53.835262817286257</v>
      </c>
      <c r="K73" s="41">
        <f t="shared" si="27"/>
        <v>51.120299129934565</v>
      </c>
      <c r="L73" s="41">
        <f t="shared" si="27"/>
        <v>48.105738117494788</v>
      </c>
      <c r="M73" s="41">
        <f t="shared" si="27"/>
        <v>45.208995469907244</v>
      </c>
      <c r="N73" s="41">
        <f t="shared" si="27"/>
        <v>43.290249514632919</v>
      </c>
      <c r="O73" s="41">
        <f t="shared" si="27"/>
        <v>41.503487452362123</v>
      </c>
      <c r="P73" s="41">
        <f t="shared" si="27"/>
        <v>39.827353131516503</v>
      </c>
      <c r="Q73" s="41">
        <f t="shared" si="27"/>
        <v>35.163694542316819</v>
      </c>
      <c r="R73" s="41" t="str">
        <f t="shared" si="27"/>
        <v/>
      </c>
      <c r="S73" s="41" t="str">
        <f t="shared" si="27"/>
        <v/>
      </c>
      <c r="T73" s="41" t="str">
        <f t="shared" si="27"/>
        <v/>
      </c>
      <c r="U73" s="41" t="str">
        <f t="shared" si="27"/>
        <v/>
      </c>
      <c r="V73" s="41" t="str">
        <f t="shared" si="27"/>
        <v/>
      </c>
      <c r="W73" s="41" t="str">
        <f t="shared" si="27"/>
        <v/>
      </c>
      <c r="X73" s="41" t="str">
        <f t="shared" si="27"/>
        <v/>
      </c>
      <c r="Y73" s="41" t="str">
        <f t="shared" si="27"/>
        <v/>
      </c>
      <c r="Z73" s="41" t="str">
        <f t="shared" si="27"/>
        <v/>
      </c>
      <c r="AA73" s="41" t="str">
        <f t="shared" si="27"/>
        <v/>
      </c>
      <c r="AB73" s="41" t="str">
        <f t="shared" si="27"/>
        <v/>
      </c>
      <c r="AC73" s="41" t="str">
        <f t="shared" si="27"/>
        <v/>
      </c>
      <c r="AD73" s="41" t="str">
        <f t="shared" si="27"/>
        <v/>
      </c>
      <c r="AE73" s="41" t="str">
        <f t="shared" si="27"/>
        <v/>
      </c>
      <c r="AF73" s="41" t="str">
        <f t="shared" si="27"/>
        <v/>
      </c>
      <c r="AG73" s="41" t="str">
        <f t="shared" si="27"/>
        <v/>
      </c>
      <c r="AH73" s="41" t="str">
        <f t="shared" si="27"/>
        <v/>
      </c>
      <c r="AI73" s="41" t="str">
        <f t="shared" si="27"/>
        <v/>
      </c>
      <c r="AJ73" s="41" t="str">
        <f t="shared" si="27"/>
        <v/>
      </c>
      <c r="AK73" s="41" t="str">
        <f t="shared" si="27"/>
        <v/>
      </c>
      <c r="AL73" s="41" t="str">
        <f t="shared" si="27"/>
        <v/>
      </c>
      <c r="AM73" s="41" t="str">
        <f t="shared" si="27"/>
        <v/>
      </c>
      <c r="AN73" s="41" t="str">
        <f t="shared" si="27"/>
        <v/>
      </c>
      <c r="AO73" s="41" t="str">
        <f t="shared" si="27"/>
        <v/>
      </c>
      <c r="AP73" s="41" t="str">
        <f t="shared" si="27"/>
        <v/>
      </c>
      <c r="AQ73" s="41" t="str">
        <f t="shared" si="27"/>
        <v/>
      </c>
      <c r="AR73" s="41" t="str">
        <f t="shared" si="27"/>
        <v/>
      </c>
      <c r="AS73" s="41" t="str">
        <f t="shared" si="27"/>
        <v/>
      </c>
      <c r="AT73" s="41" t="str">
        <f t="shared" si="27"/>
        <v/>
      </c>
      <c r="AU73" s="23"/>
      <c r="AV73" s="23"/>
      <c r="AW73" s="23"/>
      <c r="AX73" s="23"/>
      <c r="AY73" s="23"/>
      <c r="AZ73" s="23"/>
      <c r="BA73" s="23"/>
      <c r="BB73" s="23"/>
      <c r="BC73" s="23"/>
      <c r="BD73" s="23"/>
      <c r="BE73" s="23"/>
      <c r="BF73" s="23"/>
      <c r="BG73" s="23"/>
      <c r="BH73" s="23"/>
      <c r="BI73" s="23"/>
      <c r="BJ73" s="23"/>
      <c r="BK73" s="23"/>
      <c r="BL73" s="23"/>
      <c r="BM73" s="24"/>
    </row>
    <row r="74" spans="1:65" ht="12.5" x14ac:dyDescent="0.25">
      <c r="A74" s="36">
        <v>29</v>
      </c>
      <c r="B74" s="35">
        <v>27664</v>
      </c>
      <c r="C74" s="41">
        <f t="shared" ref="C74:AT74" si="28">IF(C20=0, "", C20/$B20)</f>
        <v>81.198127530364374</v>
      </c>
      <c r="D74" s="41">
        <f t="shared" si="28"/>
        <v>73.880133024869863</v>
      </c>
      <c r="E74" s="41">
        <f t="shared" si="28"/>
        <v>70.542220936957776</v>
      </c>
      <c r="F74" s="41">
        <f t="shared" si="28"/>
        <v>68.116179872758821</v>
      </c>
      <c r="G74" s="41">
        <f t="shared" si="28"/>
        <v>63.584622614227875</v>
      </c>
      <c r="H74" s="41">
        <f t="shared" si="28"/>
        <v>59.86570994794679</v>
      </c>
      <c r="I74" s="41">
        <f t="shared" si="28"/>
        <v>56.698778195488721</v>
      </c>
      <c r="J74" s="41">
        <f t="shared" si="28"/>
        <v>54.688765182186238</v>
      </c>
      <c r="K74" s="41">
        <f t="shared" si="28"/>
        <v>51.886603528050898</v>
      </c>
      <c r="L74" s="41">
        <f t="shared" si="28"/>
        <v>48.796558704453439</v>
      </c>
      <c r="M74" s="41">
        <f t="shared" si="28"/>
        <v>47.176113360323889</v>
      </c>
      <c r="N74" s="41">
        <f t="shared" si="28"/>
        <v>44.217864372469634</v>
      </c>
      <c r="O74" s="41">
        <f t="shared" si="28"/>
        <v>42.434065934065934</v>
      </c>
      <c r="P74" s="41">
        <f t="shared" si="28"/>
        <v>40.812355407750147</v>
      </c>
      <c r="Q74" s="41">
        <f t="shared" si="28"/>
        <v>39.597961249277041</v>
      </c>
      <c r="R74" s="41">
        <f t="shared" si="28"/>
        <v>34.30783689994216</v>
      </c>
      <c r="S74" s="41" t="str">
        <f t="shared" si="28"/>
        <v/>
      </c>
      <c r="T74" s="41" t="str">
        <f t="shared" si="28"/>
        <v/>
      </c>
      <c r="U74" s="41" t="str">
        <f t="shared" si="28"/>
        <v/>
      </c>
      <c r="V74" s="41" t="str">
        <f t="shared" si="28"/>
        <v/>
      </c>
      <c r="W74" s="41" t="str">
        <f t="shared" si="28"/>
        <v/>
      </c>
      <c r="X74" s="41" t="str">
        <f t="shared" si="28"/>
        <v/>
      </c>
      <c r="Y74" s="41" t="str">
        <f t="shared" si="28"/>
        <v/>
      </c>
      <c r="Z74" s="41" t="str">
        <f t="shared" si="28"/>
        <v/>
      </c>
      <c r="AA74" s="41" t="str">
        <f t="shared" si="28"/>
        <v/>
      </c>
      <c r="AB74" s="41" t="str">
        <f t="shared" si="28"/>
        <v/>
      </c>
      <c r="AC74" s="41" t="str">
        <f t="shared" si="28"/>
        <v/>
      </c>
      <c r="AD74" s="41" t="str">
        <f t="shared" si="28"/>
        <v/>
      </c>
      <c r="AE74" s="41" t="str">
        <f t="shared" si="28"/>
        <v/>
      </c>
      <c r="AF74" s="41" t="str">
        <f t="shared" si="28"/>
        <v/>
      </c>
      <c r="AG74" s="41" t="str">
        <f t="shared" si="28"/>
        <v/>
      </c>
      <c r="AH74" s="41" t="str">
        <f t="shared" si="28"/>
        <v/>
      </c>
      <c r="AI74" s="41" t="str">
        <f t="shared" si="28"/>
        <v/>
      </c>
      <c r="AJ74" s="41" t="str">
        <f t="shared" si="28"/>
        <v/>
      </c>
      <c r="AK74" s="41" t="str">
        <f t="shared" si="28"/>
        <v/>
      </c>
      <c r="AL74" s="41" t="str">
        <f t="shared" si="28"/>
        <v/>
      </c>
      <c r="AM74" s="41" t="str">
        <f t="shared" si="28"/>
        <v/>
      </c>
      <c r="AN74" s="41" t="str">
        <f t="shared" si="28"/>
        <v/>
      </c>
      <c r="AO74" s="41" t="str">
        <f t="shared" si="28"/>
        <v/>
      </c>
      <c r="AP74" s="41" t="str">
        <f t="shared" si="28"/>
        <v/>
      </c>
      <c r="AQ74" s="41" t="str">
        <f t="shared" si="28"/>
        <v/>
      </c>
      <c r="AR74" s="41" t="str">
        <f t="shared" si="28"/>
        <v/>
      </c>
      <c r="AS74" s="41" t="str">
        <f t="shared" si="28"/>
        <v/>
      </c>
      <c r="AT74" s="41" t="str">
        <f t="shared" si="28"/>
        <v/>
      </c>
      <c r="AU74" s="23"/>
      <c r="AV74" s="23"/>
      <c r="AW74" s="23"/>
      <c r="AX74" s="23"/>
      <c r="AY74" s="23"/>
      <c r="AZ74" s="23"/>
      <c r="BA74" s="23"/>
      <c r="BB74" s="23"/>
      <c r="BC74" s="23"/>
      <c r="BD74" s="23"/>
      <c r="BE74" s="23"/>
      <c r="BF74" s="23"/>
      <c r="BG74" s="23"/>
      <c r="BH74" s="23"/>
      <c r="BI74" s="23"/>
      <c r="BJ74" s="23"/>
      <c r="BK74" s="23"/>
      <c r="BL74" s="23"/>
      <c r="BM74" s="24"/>
    </row>
    <row r="75" spans="1:65" ht="12.5" x14ac:dyDescent="0.25">
      <c r="A75" s="36">
        <v>28</v>
      </c>
      <c r="B75" s="35">
        <v>26366</v>
      </c>
      <c r="C75" s="41">
        <f t="shared" ref="C75:S75" si="29">IF(C21=0, "", C21/$B21)</f>
        <v>76.065842372752783</v>
      </c>
      <c r="D75" s="41">
        <f t="shared" si="29"/>
        <v>71.911438974436777</v>
      </c>
      <c r="E75" s="41">
        <f t="shared" si="29"/>
        <v>72.075627702343922</v>
      </c>
      <c r="F75" s="41">
        <f t="shared" si="29"/>
        <v>74.504778881893344</v>
      </c>
      <c r="G75" s="41">
        <f t="shared" si="29"/>
        <v>69.282598801486756</v>
      </c>
      <c r="H75" s="41">
        <f t="shared" si="29"/>
        <v>65.40370173708564</v>
      </c>
      <c r="I75" s="41">
        <f t="shared" si="29"/>
        <v>61.483122202836988</v>
      </c>
      <c r="J75" s="41">
        <f t="shared" si="29"/>
        <v>58.712736099522111</v>
      </c>
      <c r="K75" s="41">
        <f t="shared" si="29"/>
        <v>56.366494728058861</v>
      </c>
      <c r="L75" s="41">
        <f t="shared" si="29"/>
        <v>53.928316771599789</v>
      </c>
      <c r="M75" s="41">
        <f t="shared" si="29"/>
        <v>51.316847455055751</v>
      </c>
      <c r="N75" s="41">
        <f t="shared" si="29"/>
        <v>48.542592733065312</v>
      </c>
      <c r="O75" s="41">
        <f t="shared" si="29"/>
        <v>45.761624819843739</v>
      </c>
      <c r="P75" s="41">
        <f t="shared" si="29"/>
        <v>43.591178032314346</v>
      </c>
      <c r="Q75" s="41">
        <f t="shared" si="29"/>
        <v>41.988166578168851</v>
      </c>
      <c r="R75" s="41">
        <f t="shared" si="29"/>
        <v>40.675946294470151</v>
      </c>
      <c r="S75" s="41">
        <f t="shared" si="29"/>
        <v>35.627702343927787</v>
      </c>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23"/>
      <c r="AV75" s="23"/>
      <c r="AW75" s="23"/>
      <c r="AX75" s="23"/>
      <c r="AY75" s="23"/>
      <c r="AZ75" s="23"/>
      <c r="BA75" s="23"/>
      <c r="BB75" s="23"/>
      <c r="BC75" s="23"/>
      <c r="BD75" s="23"/>
      <c r="BE75" s="23"/>
      <c r="BF75" s="23"/>
      <c r="BG75" s="23"/>
      <c r="BH75" s="23"/>
      <c r="BI75" s="23"/>
      <c r="BJ75" s="23"/>
      <c r="BK75" s="23"/>
      <c r="BL75" s="23"/>
      <c r="BM75" s="24"/>
    </row>
    <row r="76" spans="1:65" ht="12.5" x14ac:dyDescent="0.25">
      <c r="A76" s="36">
        <v>27</v>
      </c>
      <c r="B76" s="35">
        <v>26140</v>
      </c>
      <c r="C76" s="41">
        <f t="shared" ref="C76:S76" si="30">IF(C22=0, "", C22/$B22)</f>
        <v>75.614957918898241</v>
      </c>
      <c r="D76" s="41">
        <f t="shared" si="30"/>
        <v>70.498852333588374</v>
      </c>
      <c r="E76" s="41">
        <f t="shared" si="30"/>
        <v>69.990397857689359</v>
      </c>
      <c r="F76" s="41">
        <f t="shared" si="30"/>
        <v>71.13309104820199</v>
      </c>
      <c r="G76" s="41">
        <f t="shared" si="30"/>
        <v>67.091545524100994</v>
      </c>
      <c r="H76" s="41">
        <f t="shared" si="30"/>
        <v>64.199158377964807</v>
      </c>
      <c r="I76" s="41">
        <f t="shared" si="30"/>
        <v>60.975439938791126</v>
      </c>
      <c r="J76" s="41">
        <f t="shared" si="30"/>
        <v>56.999196633511858</v>
      </c>
      <c r="K76" s="41">
        <f t="shared" si="30"/>
        <v>54.166029074215764</v>
      </c>
      <c r="L76" s="41">
        <f t="shared" si="30"/>
        <v>53.03859984697781</v>
      </c>
      <c r="M76" s="41">
        <f t="shared" si="30"/>
        <v>50.697742922723798</v>
      </c>
      <c r="N76" s="41">
        <f t="shared" si="30"/>
        <v>48.328768171384851</v>
      </c>
      <c r="O76" s="41">
        <f t="shared" si="30"/>
        <v>45.675899005355774</v>
      </c>
      <c r="P76" s="41">
        <f t="shared" si="30"/>
        <v>43.425631216526398</v>
      </c>
      <c r="Q76" s="41">
        <f t="shared" si="30"/>
        <v>41.792310635042078</v>
      </c>
      <c r="R76" s="41">
        <f t="shared" si="30"/>
        <v>39.928997704667175</v>
      </c>
      <c r="S76" s="41">
        <f t="shared" si="30"/>
        <v>38.744644223412394</v>
      </c>
      <c r="T76" s="41">
        <f t="shared" ref="T76:T102" si="31">IF(T22=0, "", T22/$B22)</f>
        <v>34.201185921958682</v>
      </c>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23"/>
      <c r="AV76" s="23"/>
      <c r="AW76" s="23"/>
      <c r="AX76" s="23"/>
      <c r="AY76" s="23"/>
      <c r="AZ76" s="23"/>
      <c r="BA76" s="23"/>
      <c r="BB76" s="23"/>
      <c r="BC76" s="23"/>
      <c r="BD76" s="23"/>
      <c r="BE76" s="23"/>
      <c r="BF76" s="23"/>
      <c r="BG76" s="23"/>
      <c r="BH76" s="23"/>
      <c r="BI76" s="23"/>
      <c r="BJ76" s="23"/>
      <c r="BK76" s="23"/>
      <c r="BL76" s="23"/>
      <c r="BM76" s="24"/>
    </row>
    <row r="77" spans="1:65" ht="12.5" x14ac:dyDescent="0.25">
      <c r="A77" s="36">
        <v>26</v>
      </c>
      <c r="B77" s="35">
        <v>28800</v>
      </c>
      <c r="C77" s="41">
        <f t="shared" ref="C77:S77" si="32">IF(C23=0, "", C23/$B23)</f>
        <v>62.775729166666665</v>
      </c>
      <c r="D77" s="41">
        <f t="shared" si="32"/>
        <v>59.831840277777779</v>
      </c>
      <c r="E77" s="41">
        <f t="shared" si="32"/>
        <v>61.633993055555557</v>
      </c>
      <c r="F77" s="41">
        <f t="shared" si="32"/>
        <v>62.608750000000001</v>
      </c>
      <c r="G77" s="41">
        <f t="shared" si="32"/>
        <v>59.609236111111109</v>
      </c>
      <c r="H77" s="41">
        <f t="shared" si="32"/>
        <v>57.987256944444447</v>
      </c>
      <c r="I77" s="41">
        <f t="shared" si="32"/>
        <v>55.889270833333335</v>
      </c>
      <c r="J77" s="41">
        <f t="shared" si="32"/>
        <v>53.689166666666665</v>
      </c>
      <c r="K77" s="41">
        <f t="shared" si="32"/>
        <v>51.302708333333335</v>
      </c>
      <c r="L77" s="41">
        <f t="shared" si="32"/>
        <v>48.613819444444445</v>
      </c>
      <c r="M77" s="41">
        <f t="shared" si="32"/>
        <v>47.535868055555554</v>
      </c>
      <c r="N77" s="41">
        <f t="shared" si="32"/>
        <v>46.036770833333335</v>
      </c>
      <c r="O77" s="41">
        <f t="shared" si="32"/>
        <v>43.907083333333333</v>
      </c>
      <c r="P77" s="41">
        <f t="shared" si="32"/>
        <v>41.625208333333333</v>
      </c>
      <c r="Q77" s="41">
        <f t="shared" si="32"/>
        <v>38.938159722222224</v>
      </c>
      <c r="R77" s="41">
        <f t="shared" si="32"/>
        <v>37.961597222222224</v>
      </c>
      <c r="S77" s="41">
        <f t="shared" si="32"/>
        <v>36.448749999999997</v>
      </c>
      <c r="T77" s="41">
        <f t="shared" si="31"/>
        <v>34.946805555555557</v>
      </c>
      <c r="U77" s="41">
        <f t="shared" ref="U77:U102" si="33">IF(U23=0, "", U23/$B23)</f>
        <v>31.349097222222223</v>
      </c>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23"/>
      <c r="AV77" s="23"/>
      <c r="AW77" s="23"/>
      <c r="AX77" s="23"/>
      <c r="AY77" s="23"/>
      <c r="AZ77" s="23"/>
      <c r="BA77" s="23"/>
      <c r="BB77" s="23"/>
      <c r="BC77" s="23"/>
      <c r="BD77" s="23"/>
      <c r="BE77" s="23"/>
      <c r="BF77" s="23"/>
      <c r="BG77" s="23"/>
      <c r="BH77" s="23"/>
      <c r="BI77" s="23"/>
      <c r="BJ77" s="23"/>
      <c r="BK77" s="23"/>
      <c r="BL77" s="23"/>
      <c r="BM77" s="24"/>
    </row>
    <row r="78" spans="1:65" ht="12.5" x14ac:dyDescent="0.25">
      <c r="A78" s="36">
        <v>25</v>
      </c>
      <c r="B78" s="35">
        <v>31688</v>
      </c>
      <c r="C78" s="41">
        <f t="shared" ref="C78:S78" si="34">IF(C24=0, "", C24/$B24)</f>
        <v>81.508678364049487</v>
      </c>
      <c r="D78" s="41">
        <f t="shared" si="34"/>
        <v>73.141409997475378</v>
      </c>
      <c r="E78" s="41">
        <f t="shared" si="34"/>
        <v>70.695089623832359</v>
      </c>
      <c r="F78" s="41">
        <f t="shared" si="34"/>
        <v>71.38345746023731</v>
      </c>
      <c r="G78" s="41">
        <f t="shared" si="34"/>
        <v>66.795790204493812</v>
      </c>
      <c r="H78" s="41">
        <f t="shared" si="34"/>
        <v>63.926975511234538</v>
      </c>
      <c r="I78" s="41">
        <f t="shared" si="34"/>
        <v>61.30500504922999</v>
      </c>
      <c r="J78" s="41">
        <f t="shared" si="34"/>
        <v>59.11149330977026</v>
      </c>
      <c r="K78" s="41">
        <f t="shared" si="34"/>
        <v>56.533672052511989</v>
      </c>
      <c r="L78" s="41">
        <f t="shared" si="34"/>
        <v>53.893461247159806</v>
      </c>
      <c r="M78" s="41">
        <f t="shared" si="34"/>
        <v>51.38901161322898</v>
      </c>
      <c r="N78" s="41">
        <f t="shared" si="34"/>
        <v>49.770701842968947</v>
      </c>
      <c r="O78" s="41">
        <f t="shared" si="34"/>
        <v>47.973807119414289</v>
      </c>
      <c r="P78" s="41">
        <f t="shared" si="34"/>
        <v>45.916971724312042</v>
      </c>
      <c r="Q78" s="41">
        <f t="shared" si="34"/>
        <v>43.392987881848015</v>
      </c>
      <c r="R78" s="41">
        <f t="shared" si="34"/>
        <v>41.371497096692757</v>
      </c>
      <c r="S78" s="41">
        <f t="shared" si="34"/>
        <v>40.016536228225199</v>
      </c>
      <c r="T78" s="41">
        <f t="shared" si="31"/>
        <v>38.12831355718253</v>
      </c>
      <c r="U78" s="41">
        <f t="shared" si="33"/>
        <v>37.562926028780609</v>
      </c>
      <c r="V78" s="90">
        <f t="shared" ref="V78:V102" si="35">IF(V24=0, "", V24/$B24)</f>
        <v>32.761076748295885</v>
      </c>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23"/>
      <c r="AV78" s="23"/>
      <c r="AW78" s="23"/>
      <c r="AX78" s="23"/>
      <c r="AY78" s="23"/>
      <c r="AZ78" s="23"/>
      <c r="BA78" s="23"/>
      <c r="BB78" s="23"/>
      <c r="BC78" s="23"/>
      <c r="BD78" s="23"/>
      <c r="BE78" s="23"/>
      <c r="BF78" s="23"/>
      <c r="BG78" s="23"/>
      <c r="BH78" s="23"/>
      <c r="BI78" s="23"/>
      <c r="BJ78" s="23"/>
      <c r="BK78" s="23"/>
      <c r="BL78" s="23"/>
      <c r="BM78" s="24"/>
    </row>
    <row r="79" spans="1:65" ht="12.5" x14ac:dyDescent="0.25">
      <c r="A79" s="36">
        <v>24</v>
      </c>
      <c r="B79" s="35">
        <v>30330</v>
      </c>
      <c r="C79" s="41">
        <f t="shared" ref="C79:S79" si="36">IF(C25=0, "", C25/$B25)</f>
        <v>87.911770524233432</v>
      </c>
      <c r="D79" s="41">
        <f t="shared" si="36"/>
        <v>77.039070227497533</v>
      </c>
      <c r="E79" s="41">
        <f t="shared" si="36"/>
        <v>72.151038575667656</v>
      </c>
      <c r="F79" s="41">
        <f t="shared" si="36"/>
        <v>70.876524892845367</v>
      </c>
      <c r="G79" s="41">
        <f t="shared" si="36"/>
        <v>66.376656775469826</v>
      </c>
      <c r="H79" s="41">
        <f t="shared" si="36"/>
        <v>63.180481371579297</v>
      </c>
      <c r="I79" s="41">
        <f t="shared" si="36"/>
        <v>60.614210352786017</v>
      </c>
      <c r="J79" s="41">
        <f t="shared" si="36"/>
        <v>58.346752390372565</v>
      </c>
      <c r="K79" s="41">
        <f t="shared" si="36"/>
        <v>56.220375865479724</v>
      </c>
      <c r="L79" s="41">
        <f t="shared" si="36"/>
        <v>53.729838443785034</v>
      </c>
      <c r="M79" s="41">
        <f t="shared" si="36"/>
        <v>50.924991757335974</v>
      </c>
      <c r="N79" s="41">
        <f t="shared" si="36"/>
        <v>48.26874381800198</v>
      </c>
      <c r="O79" s="41">
        <f t="shared" si="36"/>
        <v>48.04441147378833</v>
      </c>
      <c r="P79" s="41">
        <f t="shared" si="36"/>
        <v>46.143257500824269</v>
      </c>
      <c r="Q79" s="41">
        <f t="shared" si="36"/>
        <v>43.781998021760636</v>
      </c>
      <c r="R79" s="41">
        <f t="shared" si="36"/>
        <v>41.222024398285527</v>
      </c>
      <c r="S79" s="41">
        <f t="shared" si="36"/>
        <v>39.420936366633697</v>
      </c>
      <c r="T79" s="41">
        <f t="shared" si="31"/>
        <v>37.872205736894166</v>
      </c>
      <c r="U79" s="41">
        <f t="shared" si="33"/>
        <v>36.60300032970656</v>
      </c>
      <c r="V79" s="41">
        <f t="shared" si="35"/>
        <v>35.939795581932081</v>
      </c>
      <c r="W79" s="41">
        <f t="shared" ref="W79:W102" si="37">IF(W25=0, "", W25/$B25)</f>
        <v>31.483580613254205</v>
      </c>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23"/>
      <c r="AV79" s="23"/>
      <c r="AW79" s="23"/>
      <c r="AX79" s="23"/>
      <c r="AY79" s="23"/>
      <c r="AZ79" s="23"/>
      <c r="BA79" s="23"/>
      <c r="BB79" s="23"/>
      <c r="BC79" s="23"/>
      <c r="BD79" s="23"/>
      <c r="BE79" s="23"/>
      <c r="BF79" s="23"/>
      <c r="BG79" s="23"/>
      <c r="BH79" s="23"/>
      <c r="BI79" s="23"/>
      <c r="BJ79" s="23"/>
      <c r="BK79" s="23"/>
      <c r="BL79" s="23"/>
      <c r="BM79" s="24"/>
    </row>
    <row r="80" spans="1:65" ht="12.5" x14ac:dyDescent="0.25">
      <c r="A80" s="36">
        <v>23</v>
      </c>
      <c r="B80" s="35">
        <v>24364</v>
      </c>
      <c r="C80" s="41">
        <f t="shared" ref="C80:S80" si="38">IF(C26=0, "", C26/$B26)</f>
        <v>40.950870136266623</v>
      </c>
      <c r="D80" s="41">
        <f t="shared" si="38"/>
        <v>37.287596453784275</v>
      </c>
      <c r="E80" s="41">
        <f t="shared" si="38"/>
        <v>34.523025775734688</v>
      </c>
      <c r="F80" s="41">
        <f t="shared" si="38"/>
        <v>32.577039894926941</v>
      </c>
      <c r="G80" s="41">
        <f t="shared" si="38"/>
        <v>30.892423247414218</v>
      </c>
      <c r="H80" s="41">
        <f t="shared" si="38"/>
        <v>29.664422919060911</v>
      </c>
      <c r="I80" s="41">
        <f t="shared" si="38"/>
        <v>28.301920866852733</v>
      </c>
      <c r="J80" s="41">
        <f t="shared" si="38"/>
        <v>27.076054835002463</v>
      </c>
      <c r="K80" s="41">
        <f t="shared" si="38"/>
        <v>26.187038253160402</v>
      </c>
      <c r="L80" s="41">
        <f t="shared" si="38"/>
        <v>25.233664422919063</v>
      </c>
      <c r="M80" s="41">
        <f t="shared" si="38"/>
        <v>24.053439500902972</v>
      </c>
      <c r="N80" s="41">
        <f t="shared" si="38"/>
        <v>22.701855196191101</v>
      </c>
      <c r="O80" s="41">
        <f t="shared" si="38"/>
        <v>21.896281398785092</v>
      </c>
      <c r="P80" s="41">
        <f t="shared" si="38"/>
        <v>21.426038417337054</v>
      </c>
      <c r="Q80" s="41">
        <f t="shared" si="38"/>
        <v>20.404490231489081</v>
      </c>
      <c r="R80" s="41">
        <f t="shared" si="38"/>
        <v>19.509522245936626</v>
      </c>
      <c r="S80" s="41">
        <f t="shared" si="38"/>
        <v>18.576383188310622</v>
      </c>
      <c r="T80" s="41">
        <f t="shared" si="31"/>
        <v>17.759152848464947</v>
      </c>
      <c r="U80" s="41">
        <f t="shared" si="33"/>
        <v>17.183221145953045</v>
      </c>
      <c r="V80" s="41">
        <f t="shared" si="35"/>
        <v>16.610039402396978</v>
      </c>
      <c r="W80" s="41">
        <f t="shared" si="37"/>
        <v>16.119192250861929</v>
      </c>
      <c r="X80" s="41">
        <f t="shared" ref="X80:X102" si="39">IF(X26=0, "", X26/$B26)</f>
        <v>14.103308159579708</v>
      </c>
      <c r="Y80" s="90"/>
      <c r="Z80" s="90"/>
      <c r="AA80" s="90"/>
      <c r="AB80" s="90"/>
      <c r="AC80" s="90"/>
      <c r="AD80" s="90"/>
      <c r="AE80" s="90"/>
      <c r="AF80" s="90"/>
      <c r="AG80" s="90"/>
      <c r="AH80" s="90"/>
      <c r="AI80" s="90"/>
      <c r="AJ80" s="90"/>
      <c r="AK80" s="90"/>
      <c r="AL80" s="90"/>
      <c r="AM80" s="90"/>
      <c r="AN80" s="90"/>
      <c r="AO80" s="90"/>
      <c r="AP80" s="90"/>
      <c r="AQ80" s="90"/>
      <c r="AR80" s="90"/>
      <c r="AS80" s="90"/>
      <c r="AT80" s="90"/>
      <c r="AU80" s="23"/>
      <c r="AV80" s="23"/>
      <c r="AW80" s="23"/>
      <c r="AX80" s="23"/>
      <c r="AY80" s="23"/>
      <c r="AZ80" s="23"/>
      <c r="BA80" s="23"/>
      <c r="BB80" s="23"/>
      <c r="BC80" s="23"/>
      <c r="BD80" s="23"/>
      <c r="BE80" s="23"/>
      <c r="BF80" s="23"/>
      <c r="BG80" s="23"/>
      <c r="BH80" s="23"/>
      <c r="BI80" s="23"/>
      <c r="BJ80" s="23"/>
      <c r="BK80" s="23"/>
      <c r="BL80" s="23"/>
      <c r="BM80" s="24"/>
    </row>
    <row r="81" spans="1:65" ht="12.5" x14ac:dyDescent="0.25">
      <c r="A81" s="36">
        <v>22</v>
      </c>
      <c r="B81" s="35">
        <v>21213</v>
      </c>
      <c r="C81" s="41">
        <f t="shared" ref="C81:S81" si="40">IF(C27=0, "", C27/$B27)</f>
        <v>39.967519917032007</v>
      </c>
      <c r="D81" s="41">
        <f t="shared" si="40"/>
        <v>36.811954933295624</v>
      </c>
      <c r="E81" s="41">
        <f t="shared" si="40"/>
        <v>35.121764955451845</v>
      </c>
      <c r="F81" s="41">
        <f t="shared" si="40"/>
        <v>33.187667939471076</v>
      </c>
      <c r="G81" s="41">
        <f t="shared" si="40"/>
        <v>30.646018950643473</v>
      </c>
      <c r="H81" s="41">
        <f t="shared" si="40"/>
        <v>29.777259227831991</v>
      </c>
      <c r="I81" s="41">
        <f t="shared" si="40"/>
        <v>28.289680856078821</v>
      </c>
      <c r="J81" s="41">
        <f t="shared" si="40"/>
        <v>26.78098335926083</v>
      </c>
      <c r="K81" s="41">
        <f t="shared" si="40"/>
        <v>25.759722811483524</v>
      </c>
      <c r="L81" s="41">
        <f t="shared" si="40"/>
        <v>25.13171168623014</v>
      </c>
      <c r="M81" s="41">
        <f t="shared" si="40"/>
        <v>24.202988733323906</v>
      </c>
      <c r="N81" s="41">
        <f t="shared" si="40"/>
        <v>23.226889171734314</v>
      </c>
      <c r="O81" s="41">
        <f t="shared" si="40"/>
        <v>21.72959977372366</v>
      </c>
      <c r="P81" s="41">
        <f t="shared" si="40"/>
        <v>21.304341677273371</v>
      </c>
      <c r="Q81" s="41">
        <f t="shared" si="40"/>
        <v>20.715881770612359</v>
      </c>
      <c r="R81" s="41">
        <f t="shared" si="40"/>
        <v>19.696601140809882</v>
      </c>
      <c r="S81" s="41">
        <f t="shared" si="40"/>
        <v>19.098901616933013</v>
      </c>
      <c r="T81" s="41">
        <f t="shared" si="31"/>
        <v>17.967425635223684</v>
      </c>
      <c r="U81" s="41">
        <f t="shared" si="33"/>
        <v>16.931881393485128</v>
      </c>
      <c r="V81" s="41">
        <f t="shared" si="35"/>
        <v>16.518691368500448</v>
      </c>
      <c r="W81" s="41">
        <f t="shared" si="37"/>
        <v>15.810587847074906</v>
      </c>
      <c r="X81" s="41">
        <f t="shared" si="39"/>
        <v>15.607599113751002</v>
      </c>
      <c r="Y81" s="41">
        <f t="shared" ref="Y81:Y102" si="41">IF(Y27=0, "", Y27/$B27)</f>
        <v>13.851883279121294</v>
      </c>
      <c r="Z81" s="90"/>
      <c r="AA81" s="90"/>
      <c r="AB81" s="90"/>
      <c r="AC81" s="90"/>
      <c r="AD81" s="90"/>
      <c r="AE81" s="90"/>
      <c r="AF81" s="90"/>
      <c r="AG81" s="90"/>
      <c r="AH81" s="90"/>
      <c r="AI81" s="90"/>
      <c r="AJ81" s="90"/>
      <c r="AK81" s="90"/>
      <c r="AL81" s="90"/>
      <c r="AM81" s="90"/>
      <c r="AN81" s="90"/>
      <c r="AO81" s="90"/>
      <c r="AP81" s="90"/>
      <c r="AQ81" s="90"/>
      <c r="AR81" s="90"/>
      <c r="AS81" s="90"/>
      <c r="AT81" s="90"/>
      <c r="AU81" s="23"/>
      <c r="AV81" s="23"/>
      <c r="AW81" s="23"/>
      <c r="AX81" s="23"/>
      <c r="AY81" s="23"/>
      <c r="AZ81" s="23"/>
      <c r="BA81" s="23"/>
      <c r="BB81" s="23"/>
      <c r="BC81" s="23"/>
      <c r="BD81" s="23"/>
      <c r="BE81" s="23"/>
      <c r="BF81" s="23"/>
      <c r="BG81" s="23"/>
      <c r="BH81" s="23"/>
      <c r="BI81" s="23"/>
      <c r="BJ81" s="23"/>
      <c r="BK81" s="23"/>
      <c r="BL81" s="23"/>
      <c r="BM81" s="24"/>
    </row>
    <row r="82" spans="1:65" ht="12.5" x14ac:dyDescent="0.25">
      <c r="A82" s="36">
        <v>21</v>
      </c>
      <c r="B82" s="35">
        <v>24263</v>
      </c>
      <c r="C82" s="41">
        <f t="shared" ref="C82:S82" si="42">IF(C28=0, "", C28/$B28)</f>
        <v>40.782261055928778</v>
      </c>
      <c r="D82" s="41">
        <f t="shared" si="42"/>
        <v>37.438445369492641</v>
      </c>
      <c r="E82" s="41">
        <f t="shared" si="42"/>
        <v>35.694308205910232</v>
      </c>
      <c r="F82" s="41">
        <f t="shared" si="42"/>
        <v>34.200840786382557</v>
      </c>
      <c r="G82" s="41">
        <f t="shared" si="42"/>
        <v>31.351687755017927</v>
      </c>
      <c r="H82" s="41">
        <f t="shared" si="42"/>
        <v>29.492890409265136</v>
      </c>
      <c r="I82" s="41">
        <f t="shared" si="42"/>
        <v>28.678110703540369</v>
      </c>
      <c r="J82" s="41">
        <f t="shared" si="42"/>
        <v>27.11330008655154</v>
      </c>
      <c r="K82" s="41">
        <f t="shared" si="42"/>
        <v>25.751308576845403</v>
      </c>
      <c r="L82" s="41">
        <f t="shared" si="42"/>
        <v>24.96187610765363</v>
      </c>
      <c r="M82" s="41">
        <f t="shared" si="42"/>
        <v>24.156287351110745</v>
      </c>
      <c r="N82" s="41">
        <f t="shared" si="42"/>
        <v>23.314429378065366</v>
      </c>
      <c r="O82" s="41">
        <f t="shared" si="42"/>
        <v>22.288958496476116</v>
      </c>
      <c r="P82" s="41">
        <f t="shared" si="42"/>
        <v>21.048262786959569</v>
      </c>
      <c r="Q82" s="41">
        <f t="shared" si="42"/>
        <v>20.384082759757657</v>
      </c>
      <c r="R82" s="41">
        <f t="shared" si="42"/>
        <v>20.006099822775418</v>
      </c>
      <c r="S82" s="41">
        <f t="shared" si="42"/>
        <v>19.411449532209538</v>
      </c>
      <c r="T82" s="41">
        <f t="shared" si="31"/>
        <v>18.52363681325475</v>
      </c>
      <c r="U82" s="41">
        <f t="shared" si="33"/>
        <v>17.600008243003749</v>
      </c>
      <c r="V82" s="41">
        <f t="shared" si="35"/>
        <v>16.734740139306762</v>
      </c>
      <c r="W82" s="41">
        <f t="shared" si="37"/>
        <v>16.308824135514982</v>
      </c>
      <c r="X82" s="41">
        <f t="shared" si="39"/>
        <v>15.712937394386515</v>
      </c>
      <c r="Y82" s="41">
        <f t="shared" si="41"/>
        <v>15.310678811358859</v>
      </c>
      <c r="Z82" s="41">
        <f t="shared" ref="Z82:Z102" si="43">IF(Z28=0, "", Z28/$B28)</f>
        <v>13.363104315212464</v>
      </c>
      <c r="AA82" s="90"/>
      <c r="AB82" s="90"/>
      <c r="AC82" s="90"/>
      <c r="AD82" s="90"/>
      <c r="AE82" s="90"/>
      <c r="AF82" s="90"/>
      <c r="AG82" s="90"/>
      <c r="AH82" s="90"/>
      <c r="AI82" s="90"/>
      <c r="AJ82" s="90"/>
      <c r="AK82" s="90"/>
      <c r="AL82" s="90"/>
      <c r="AM82" s="90"/>
      <c r="AN82" s="90"/>
      <c r="AO82" s="90"/>
      <c r="AP82" s="90"/>
      <c r="AQ82" s="90"/>
      <c r="AR82" s="90"/>
      <c r="AS82" s="90"/>
      <c r="AT82" s="90"/>
      <c r="AU82" s="23"/>
      <c r="AV82" s="23"/>
      <c r="AW82" s="23"/>
      <c r="AX82" s="23"/>
      <c r="AY82" s="23"/>
      <c r="AZ82" s="23"/>
      <c r="BA82" s="23"/>
      <c r="BB82" s="23"/>
      <c r="BC82" s="23"/>
      <c r="BD82" s="23"/>
      <c r="BE82" s="23"/>
      <c r="BF82" s="23"/>
      <c r="BG82" s="23"/>
      <c r="BH82" s="23"/>
      <c r="BI82" s="23"/>
      <c r="BJ82" s="23"/>
      <c r="BK82" s="23"/>
      <c r="BL82" s="23"/>
      <c r="BM82" s="24"/>
    </row>
    <row r="83" spans="1:65" ht="12.5" x14ac:dyDescent="0.25">
      <c r="A83" s="36">
        <v>20</v>
      </c>
      <c r="B83" s="35">
        <v>24753</v>
      </c>
      <c r="C83" s="41">
        <f t="shared" ref="C83:S83" si="44">IF(C29=0, "", C29/$B29)</f>
        <v>42.741122288207492</v>
      </c>
      <c r="D83" s="41">
        <f t="shared" si="44"/>
        <v>38.914030622550804</v>
      </c>
      <c r="E83" s="41">
        <f t="shared" si="44"/>
        <v>37.301175615076957</v>
      </c>
      <c r="F83" s="41">
        <f t="shared" si="44"/>
        <v>36.547367995798488</v>
      </c>
      <c r="G83" s="41">
        <f t="shared" si="44"/>
        <v>34.139579040924332</v>
      </c>
      <c r="H83" s="41">
        <f t="shared" si="44"/>
        <v>31.438734698824383</v>
      </c>
      <c r="I83" s="41">
        <f t="shared" si="44"/>
        <v>29.769724881832506</v>
      </c>
      <c r="J83" s="41">
        <f t="shared" si="44"/>
        <v>29.239890114329576</v>
      </c>
      <c r="K83" s="41">
        <f t="shared" si="44"/>
        <v>27.535490647598269</v>
      </c>
      <c r="L83" s="41">
        <f t="shared" si="44"/>
        <v>26.159293822970952</v>
      </c>
      <c r="M83" s="41">
        <f t="shared" si="44"/>
        <v>25.215650628206681</v>
      </c>
      <c r="N83" s="41">
        <f t="shared" si="44"/>
        <v>24.421039873954673</v>
      </c>
      <c r="O83" s="41">
        <f t="shared" si="44"/>
        <v>23.625701935118975</v>
      </c>
      <c r="P83" s="41">
        <f t="shared" si="44"/>
        <v>22.561224902032077</v>
      </c>
      <c r="Q83" s="41">
        <f t="shared" si="44"/>
        <v>21.48333535329051</v>
      </c>
      <c r="R83" s="41">
        <f t="shared" si="44"/>
        <v>20.467700884741244</v>
      </c>
      <c r="S83" s="41">
        <f t="shared" si="44"/>
        <v>20.116672726538198</v>
      </c>
      <c r="T83" s="41">
        <f t="shared" si="31"/>
        <v>19.367470609623076</v>
      </c>
      <c r="U83" s="41">
        <f t="shared" si="33"/>
        <v>18.495778289500262</v>
      </c>
      <c r="V83" s="41">
        <f t="shared" si="35"/>
        <v>17.743990627398698</v>
      </c>
      <c r="W83" s="41">
        <f t="shared" si="37"/>
        <v>16.7202763301418</v>
      </c>
      <c r="X83" s="41">
        <f t="shared" si="39"/>
        <v>16.110410859289782</v>
      </c>
      <c r="Y83" s="41">
        <f t="shared" si="41"/>
        <v>15.609582676847252</v>
      </c>
      <c r="Z83" s="41">
        <f t="shared" si="43"/>
        <v>15.203773280006464</v>
      </c>
      <c r="AA83" s="41">
        <f t="shared" ref="AA83:AA102" si="45">IF(AA29=0, "", AA29/$B29)</f>
        <v>13.398537551003919</v>
      </c>
      <c r="AB83" s="90"/>
      <c r="AC83" s="90"/>
      <c r="AD83" s="90"/>
      <c r="AE83" s="90"/>
      <c r="AF83" s="90"/>
      <c r="AG83" s="90"/>
      <c r="AH83" s="90"/>
      <c r="AI83" s="90"/>
      <c r="AJ83" s="90"/>
      <c r="AK83" s="90"/>
      <c r="AL83" s="90"/>
      <c r="AM83" s="90"/>
      <c r="AN83" s="90"/>
      <c r="AO83" s="90"/>
      <c r="AP83" s="90"/>
      <c r="AQ83" s="90"/>
      <c r="AR83" s="90"/>
      <c r="AS83" s="90"/>
      <c r="AT83" s="90"/>
      <c r="AU83" s="23"/>
      <c r="AV83" s="23"/>
      <c r="AW83" s="23"/>
      <c r="AX83" s="23"/>
      <c r="AY83" s="23"/>
      <c r="AZ83" s="23"/>
      <c r="BA83" s="23"/>
      <c r="BB83" s="23"/>
      <c r="BC83" s="23"/>
      <c r="BD83" s="23"/>
      <c r="BE83" s="23"/>
      <c r="BF83" s="23"/>
      <c r="BG83" s="23"/>
      <c r="BH83" s="23"/>
      <c r="BI83" s="23"/>
      <c r="BJ83" s="23"/>
      <c r="BK83" s="23"/>
      <c r="BL83" s="23"/>
      <c r="BM83" s="24"/>
    </row>
    <row r="84" spans="1:65" ht="12.5" x14ac:dyDescent="0.25">
      <c r="A84" s="36">
        <v>19</v>
      </c>
      <c r="B84" s="35">
        <v>18337</v>
      </c>
      <c r="C84" s="41">
        <f t="shared" ref="C84:S84" si="46">IF(C30=0, "", C30/$B30)</f>
        <v>39.65845012815619</v>
      </c>
      <c r="D84" s="41">
        <f t="shared" si="46"/>
        <v>36.240824562360253</v>
      </c>
      <c r="E84" s="41">
        <f t="shared" si="46"/>
        <v>35.46583410590609</v>
      </c>
      <c r="F84" s="41">
        <f t="shared" si="46"/>
        <v>35.511534056824999</v>
      </c>
      <c r="G84" s="41">
        <f t="shared" si="46"/>
        <v>33.038065114249875</v>
      </c>
      <c r="H84" s="41">
        <f t="shared" si="46"/>
        <v>31.108360146152588</v>
      </c>
      <c r="I84" s="41">
        <f t="shared" si="46"/>
        <v>28.971532966134045</v>
      </c>
      <c r="J84" s="41">
        <f t="shared" si="46"/>
        <v>27.474396029884932</v>
      </c>
      <c r="K84" s="41">
        <f t="shared" si="46"/>
        <v>26.709548999291052</v>
      </c>
      <c r="L84" s="41">
        <f t="shared" si="46"/>
        <v>25.709603533838688</v>
      </c>
      <c r="M84" s="41">
        <f t="shared" si="46"/>
        <v>24.296558870044173</v>
      </c>
      <c r="N84" s="41">
        <f t="shared" si="46"/>
        <v>23.609478104379125</v>
      </c>
      <c r="O84" s="41">
        <f t="shared" si="46"/>
        <v>22.843267710094345</v>
      </c>
      <c r="P84" s="41">
        <f t="shared" si="46"/>
        <v>21.783116104051917</v>
      </c>
      <c r="Q84" s="41">
        <f t="shared" si="46"/>
        <v>20.895130064896112</v>
      </c>
      <c r="R84" s="41">
        <f t="shared" si="46"/>
        <v>20.02612204831761</v>
      </c>
      <c r="S84" s="41">
        <f t="shared" si="46"/>
        <v>19.200905273490758</v>
      </c>
      <c r="T84" s="41">
        <f t="shared" si="31"/>
        <v>19.083110650597153</v>
      </c>
      <c r="U84" s="41">
        <f t="shared" si="33"/>
        <v>18.00376288378688</v>
      </c>
      <c r="V84" s="41">
        <f t="shared" si="35"/>
        <v>17.458199269237063</v>
      </c>
      <c r="W84" s="41">
        <f t="shared" si="37"/>
        <v>16.452418607187653</v>
      </c>
      <c r="X84" s="41">
        <f t="shared" si="39"/>
        <v>15.551562414789769</v>
      </c>
      <c r="Y84" s="41">
        <f t="shared" si="41"/>
        <v>15.010634236789006</v>
      </c>
      <c r="Z84" s="41">
        <f t="shared" si="43"/>
        <v>14.616185853738344</v>
      </c>
      <c r="AA84" s="41">
        <f t="shared" si="45"/>
        <v>13.956972241915253</v>
      </c>
      <c r="AB84" s="41">
        <f t="shared" ref="AB84:AB102" si="47">IF(AB30=0, "", AB30/$B30)</f>
        <v>12.380487538855865</v>
      </c>
      <c r="AC84" s="90"/>
      <c r="AD84" s="90"/>
      <c r="AE84" s="90"/>
      <c r="AF84" s="90"/>
      <c r="AG84" s="90"/>
      <c r="AH84" s="90"/>
      <c r="AI84" s="90"/>
      <c r="AJ84" s="90"/>
      <c r="AK84" s="90"/>
      <c r="AL84" s="90"/>
      <c r="AM84" s="90"/>
      <c r="AN84" s="90"/>
      <c r="AO84" s="90"/>
      <c r="AP84" s="90"/>
      <c r="AQ84" s="90"/>
      <c r="AR84" s="90"/>
      <c r="AS84" s="90"/>
      <c r="AT84" s="90"/>
      <c r="AU84" s="23"/>
      <c r="AV84" s="23"/>
      <c r="AW84" s="23"/>
      <c r="AX84" s="23"/>
      <c r="AY84" s="23"/>
      <c r="AZ84" s="23"/>
      <c r="BA84" s="23"/>
      <c r="BB84" s="23"/>
      <c r="BC84" s="23"/>
      <c r="BD84" s="23"/>
      <c r="BE84" s="23"/>
      <c r="BF84" s="23"/>
      <c r="BG84" s="23"/>
      <c r="BH84" s="23"/>
      <c r="BI84" s="23"/>
      <c r="BJ84" s="23"/>
      <c r="BK84" s="23"/>
      <c r="BL84" s="23"/>
      <c r="BM84" s="24"/>
    </row>
    <row r="85" spans="1:65" ht="12.5" x14ac:dyDescent="0.25">
      <c r="A85" s="36">
        <v>18</v>
      </c>
      <c r="B85" s="35">
        <v>14603</v>
      </c>
      <c r="C85" s="41">
        <f t="shared" ref="C85:S85" si="48">IF(C31=0, "", C31/$B31)</f>
        <v>37.76443196603438</v>
      </c>
      <c r="D85" s="41">
        <f t="shared" si="48"/>
        <v>34.391631856467846</v>
      </c>
      <c r="E85" s="41">
        <f t="shared" si="48"/>
        <v>32.104225159213861</v>
      </c>
      <c r="F85" s="41">
        <f t="shared" si="48"/>
        <v>31.567760049304937</v>
      </c>
      <c r="G85" s="41">
        <f t="shared" si="48"/>
        <v>29.149421351777033</v>
      </c>
      <c r="H85" s="41">
        <f t="shared" si="48"/>
        <v>27.529411764705884</v>
      </c>
      <c r="I85" s="41">
        <f t="shared" si="48"/>
        <v>25.998219543929331</v>
      </c>
      <c r="J85" s="41">
        <f t="shared" si="48"/>
        <v>23.945970006163119</v>
      </c>
      <c r="K85" s="41">
        <f t="shared" si="48"/>
        <v>22.762583030884066</v>
      </c>
      <c r="L85" s="41">
        <f t="shared" si="48"/>
        <v>22.492227624460728</v>
      </c>
      <c r="M85" s="41">
        <f t="shared" si="48"/>
        <v>21.419091967403958</v>
      </c>
      <c r="N85" s="41">
        <f t="shared" si="48"/>
        <v>20.421899609669246</v>
      </c>
      <c r="O85" s="41">
        <f t="shared" si="48"/>
        <v>19.596658220913511</v>
      </c>
      <c r="P85" s="41">
        <f t="shared" si="48"/>
        <v>18.760254742176265</v>
      </c>
      <c r="Q85" s="41">
        <f t="shared" si="48"/>
        <v>18.280558789289874</v>
      </c>
      <c r="R85" s="41">
        <f t="shared" si="48"/>
        <v>17.834417585427651</v>
      </c>
      <c r="S85" s="41">
        <f t="shared" si="48"/>
        <v>16.669930836129563</v>
      </c>
      <c r="T85" s="41">
        <f t="shared" si="31"/>
        <v>16.115387249195372</v>
      </c>
      <c r="U85" s="41">
        <f t="shared" si="33"/>
        <v>15.956378826268574</v>
      </c>
      <c r="V85" s="41">
        <f t="shared" si="35"/>
        <v>15.256728069574745</v>
      </c>
      <c r="W85" s="41">
        <f t="shared" si="37"/>
        <v>14.611107306717798</v>
      </c>
      <c r="X85" s="41">
        <f t="shared" si="39"/>
        <v>13.99061836608916</v>
      </c>
      <c r="Y85" s="41">
        <f t="shared" si="41"/>
        <v>13.146134355954256</v>
      </c>
      <c r="Z85" s="41">
        <f t="shared" si="43"/>
        <v>12.721495583099363</v>
      </c>
      <c r="AA85" s="41">
        <f t="shared" si="45"/>
        <v>12.322673423269192</v>
      </c>
      <c r="AB85" s="41">
        <f t="shared" si="47"/>
        <v>11.946175443402041</v>
      </c>
      <c r="AC85" s="41">
        <f t="shared" ref="AC85:AC102" si="49">IF(AC31=0, "", AC31/$B31)</f>
        <v>10.465246867082106</v>
      </c>
      <c r="AD85" s="90"/>
      <c r="AE85" s="90"/>
      <c r="AF85" s="90"/>
      <c r="AG85" s="90"/>
      <c r="AH85" s="90"/>
      <c r="AI85" s="90"/>
      <c r="AJ85" s="90"/>
      <c r="AK85" s="90"/>
      <c r="AL85" s="90"/>
      <c r="AM85" s="90"/>
      <c r="AN85" s="90"/>
      <c r="AO85" s="90"/>
      <c r="AP85" s="90"/>
      <c r="AQ85" s="90"/>
      <c r="AR85" s="90"/>
      <c r="AS85" s="90"/>
      <c r="AT85" s="90"/>
      <c r="AU85" s="23"/>
      <c r="AV85" s="23"/>
      <c r="AW85" s="23"/>
      <c r="AX85" s="23"/>
      <c r="AY85" s="23"/>
      <c r="AZ85" s="23"/>
      <c r="BA85" s="23"/>
      <c r="BB85" s="23"/>
      <c r="BC85" s="23"/>
      <c r="BD85" s="23"/>
      <c r="BE85" s="23"/>
      <c r="BF85" s="23"/>
      <c r="BG85" s="23"/>
      <c r="BH85" s="23"/>
      <c r="BI85" s="23"/>
      <c r="BJ85" s="23"/>
      <c r="BK85" s="23"/>
      <c r="BL85" s="23"/>
      <c r="BM85" s="24"/>
    </row>
    <row r="86" spans="1:65" ht="12.5" x14ac:dyDescent="0.25">
      <c r="A86" s="36">
        <v>17</v>
      </c>
      <c r="B86" s="35">
        <v>14565</v>
      </c>
      <c r="C86" s="41">
        <f t="shared" ref="C86:S86" si="50">IF(C32=0, "", C32/$B32)</f>
        <v>38.400480604188125</v>
      </c>
      <c r="D86" s="41">
        <f t="shared" si="50"/>
        <v>34.255132166151732</v>
      </c>
      <c r="E86" s="41">
        <f t="shared" si="50"/>
        <v>32.511912118091317</v>
      </c>
      <c r="F86" s="41">
        <f t="shared" si="50"/>
        <v>30.892962581531069</v>
      </c>
      <c r="G86" s="41">
        <f t="shared" si="50"/>
        <v>28.842979745966357</v>
      </c>
      <c r="H86" s="41">
        <f t="shared" si="50"/>
        <v>27.479299691040165</v>
      </c>
      <c r="I86" s="41">
        <f t="shared" si="50"/>
        <v>26.525231719876416</v>
      </c>
      <c r="J86" s="41">
        <f t="shared" si="50"/>
        <v>24.781943014074837</v>
      </c>
      <c r="K86" s="41">
        <f t="shared" si="50"/>
        <v>22.786817713697218</v>
      </c>
      <c r="L86" s="41">
        <f t="shared" si="50"/>
        <v>21.695571575695158</v>
      </c>
      <c r="M86" s="41">
        <f t="shared" si="50"/>
        <v>21.365396498455201</v>
      </c>
      <c r="N86" s="41">
        <f t="shared" si="50"/>
        <v>20.252729145211124</v>
      </c>
      <c r="O86" s="41">
        <f t="shared" si="50"/>
        <v>19.506144867833846</v>
      </c>
      <c r="P86" s="41">
        <f t="shared" si="50"/>
        <v>18.757638173704084</v>
      </c>
      <c r="Q86" s="41">
        <f t="shared" si="50"/>
        <v>18.171918983865432</v>
      </c>
      <c r="R86" s="41">
        <f t="shared" si="50"/>
        <v>17.824030209406111</v>
      </c>
      <c r="S86" s="41">
        <f t="shared" si="50"/>
        <v>16.812221077926537</v>
      </c>
      <c r="T86" s="41">
        <f t="shared" si="31"/>
        <v>15.924476484723652</v>
      </c>
      <c r="U86" s="41">
        <f t="shared" si="33"/>
        <v>15.617095777548919</v>
      </c>
      <c r="V86" s="41">
        <f t="shared" si="35"/>
        <v>15.245451424648129</v>
      </c>
      <c r="W86" s="41">
        <f t="shared" si="37"/>
        <v>14.649090284929626</v>
      </c>
      <c r="X86" s="41">
        <f t="shared" si="39"/>
        <v>13.864057672502575</v>
      </c>
      <c r="Y86" s="41">
        <f t="shared" si="41"/>
        <v>13.335599038791624</v>
      </c>
      <c r="Z86" s="41">
        <f t="shared" si="43"/>
        <v>12.81071060762101</v>
      </c>
      <c r="AA86" s="41">
        <f t="shared" si="45"/>
        <v>12.421421215242018</v>
      </c>
      <c r="AB86" s="41">
        <f t="shared" si="47"/>
        <v>11.907243391692413</v>
      </c>
      <c r="AC86" s="41">
        <f t="shared" si="49"/>
        <v>11.510676278750429</v>
      </c>
      <c r="AD86" s="41">
        <f t="shared" ref="AD86:AD102" si="51">IF(AD32=0, "", AD32/$B32)</f>
        <v>9.8915894267078617</v>
      </c>
      <c r="AE86" s="90"/>
      <c r="AF86" s="90"/>
      <c r="AG86" s="90"/>
      <c r="AH86" s="90"/>
      <c r="AI86" s="90"/>
      <c r="AJ86" s="90"/>
      <c r="AK86" s="90"/>
      <c r="AL86" s="90"/>
      <c r="AM86" s="90"/>
      <c r="AN86" s="90"/>
      <c r="AO86" s="90"/>
      <c r="AP86" s="90"/>
      <c r="AQ86" s="90"/>
      <c r="AR86" s="90"/>
      <c r="AS86" s="90"/>
      <c r="AT86" s="90"/>
      <c r="AU86" s="23"/>
      <c r="AV86" s="23"/>
      <c r="AW86" s="23"/>
      <c r="AX86" s="23"/>
      <c r="AY86" s="23"/>
      <c r="AZ86" s="23"/>
      <c r="BA86" s="23"/>
      <c r="BB86" s="23"/>
      <c r="BC86" s="23"/>
      <c r="BD86" s="23"/>
      <c r="BE86" s="23"/>
      <c r="BF86" s="23"/>
      <c r="BG86" s="23"/>
      <c r="BH86" s="23"/>
      <c r="BI86" s="23"/>
      <c r="BJ86" s="23"/>
      <c r="BK86" s="23"/>
      <c r="BL86" s="23"/>
      <c r="BM86" s="24"/>
    </row>
    <row r="87" spans="1:65" ht="12.5" x14ac:dyDescent="0.25">
      <c r="A87" s="36">
        <v>16</v>
      </c>
      <c r="B87" s="35">
        <v>14336</v>
      </c>
      <c r="C87" s="41">
        <f t="shared" ref="C87:S87" si="52">IF(C33=0, "", C33/$B33)</f>
        <v>38.960309709821431</v>
      </c>
      <c r="D87" s="41">
        <f t="shared" si="52"/>
        <v>34.729840959821431</v>
      </c>
      <c r="E87" s="41">
        <f t="shared" si="52"/>
        <v>33.05810546875</v>
      </c>
      <c r="F87" s="41">
        <f t="shared" si="52"/>
        <v>32.304966517857146</v>
      </c>
      <c r="G87" s="41">
        <f t="shared" si="52"/>
        <v>29.344377790178573</v>
      </c>
      <c r="H87" s="41">
        <f t="shared" si="52"/>
        <v>27.762834821428573</v>
      </c>
      <c r="I87" s="41">
        <f t="shared" si="52"/>
        <v>26.665387834821427</v>
      </c>
      <c r="J87" s="41">
        <f t="shared" si="52"/>
        <v>25.797712053571427</v>
      </c>
      <c r="K87" s="41">
        <f t="shared" si="52"/>
        <v>24.312918526785715</v>
      </c>
      <c r="L87" s="41">
        <f t="shared" si="52"/>
        <v>22.463727678571427</v>
      </c>
      <c r="M87" s="41">
        <f t="shared" si="52"/>
        <v>21.263741629464285</v>
      </c>
      <c r="N87" s="41">
        <f t="shared" si="52"/>
        <v>20.710588727678573</v>
      </c>
      <c r="O87" s="41">
        <f t="shared" si="52"/>
        <v>20.223981584821427</v>
      </c>
      <c r="P87" s="41">
        <f t="shared" si="52"/>
        <v>19.451520647321427</v>
      </c>
      <c r="Q87" s="41">
        <f t="shared" si="52"/>
        <v>18.632672991071427</v>
      </c>
      <c r="R87" s="41">
        <f t="shared" si="52"/>
        <v>18.014508928571427</v>
      </c>
      <c r="S87" s="41">
        <f t="shared" si="52"/>
        <v>17.703683035714285</v>
      </c>
      <c r="T87" s="41">
        <f t="shared" si="31"/>
        <v>16.804478236607142</v>
      </c>
      <c r="U87" s="41">
        <f t="shared" si="33"/>
        <v>15.694405691964286</v>
      </c>
      <c r="V87" s="41">
        <f t="shared" si="35"/>
        <v>15.059640066964286</v>
      </c>
      <c r="W87" s="41">
        <f t="shared" si="37"/>
        <v>14.96728515625</v>
      </c>
      <c r="X87" s="41">
        <f t="shared" si="39"/>
        <v>14.517438616071429</v>
      </c>
      <c r="Y87" s="41">
        <f t="shared" si="41"/>
        <v>13.800990513392858</v>
      </c>
      <c r="Z87" s="41">
        <f t="shared" si="43"/>
        <v>13.108537946428571</v>
      </c>
      <c r="AA87" s="41">
        <f t="shared" si="45"/>
        <v>12.194266183035714</v>
      </c>
      <c r="AB87" s="41">
        <f t="shared" si="47"/>
        <v>11.9189453125</v>
      </c>
      <c r="AC87" s="41">
        <f t="shared" si="49"/>
        <v>11.610142299107142</v>
      </c>
      <c r="AD87" s="41">
        <f t="shared" si="51"/>
        <v>11.272321428571429</v>
      </c>
      <c r="AE87" s="41">
        <f t="shared" ref="AE87:AT87" si="53">IF(AE33=0, "", AE33/$B33)</f>
        <v>9.7367466517857135</v>
      </c>
      <c r="AF87" s="41" t="str">
        <f t="shared" si="53"/>
        <v/>
      </c>
      <c r="AG87" s="41" t="str">
        <f t="shared" si="53"/>
        <v/>
      </c>
      <c r="AH87" s="41" t="str">
        <f t="shared" si="53"/>
        <v/>
      </c>
      <c r="AI87" s="41" t="str">
        <f t="shared" si="53"/>
        <v/>
      </c>
      <c r="AJ87" s="41" t="str">
        <f t="shared" si="53"/>
        <v/>
      </c>
      <c r="AK87" s="41" t="str">
        <f t="shared" si="53"/>
        <v/>
      </c>
      <c r="AL87" s="41" t="str">
        <f t="shared" si="53"/>
        <v/>
      </c>
      <c r="AM87" s="41" t="str">
        <f t="shared" si="53"/>
        <v/>
      </c>
      <c r="AN87" s="41" t="str">
        <f t="shared" si="53"/>
        <v/>
      </c>
      <c r="AO87" s="41" t="str">
        <f t="shared" si="53"/>
        <v/>
      </c>
      <c r="AP87" s="41" t="str">
        <f t="shared" si="53"/>
        <v/>
      </c>
      <c r="AQ87" s="41" t="str">
        <f t="shared" si="53"/>
        <v/>
      </c>
      <c r="AR87" s="41" t="str">
        <f t="shared" si="53"/>
        <v/>
      </c>
      <c r="AS87" s="41" t="str">
        <f t="shared" si="53"/>
        <v/>
      </c>
      <c r="AT87" s="41" t="str">
        <f t="shared" si="53"/>
        <v/>
      </c>
      <c r="AU87" s="23"/>
      <c r="AV87" s="23"/>
      <c r="AW87" s="23"/>
      <c r="AX87" s="23"/>
      <c r="AY87" s="23"/>
      <c r="AZ87" s="23"/>
      <c r="BA87" s="23"/>
      <c r="BB87" s="23"/>
      <c r="BC87" s="23"/>
      <c r="BD87" s="23"/>
      <c r="BE87" s="23"/>
      <c r="BF87" s="23"/>
      <c r="BG87" s="23"/>
      <c r="BH87" s="23"/>
      <c r="BI87" s="23"/>
      <c r="BJ87" s="23"/>
      <c r="BK87" s="23"/>
      <c r="BL87" s="23"/>
      <c r="BM87" s="24"/>
    </row>
    <row r="88" spans="1:65" ht="12.5" x14ac:dyDescent="0.25">
      <c r="A88" s="36">
        <v>15</v>
      </c>
      <c r="B88" s="35">
        <v>27968</v>
      </c>
      <c r="C88" s="41">
        <f t="shared" ref="C88:S88" si="54">IF(C34=0, "", C34/$B34)</f>
        <v>32.73991704805492</v>
      </c>
      <c r="D88" s="41">
        <f t="shared" si="54"/>
        <v>38.565610697940507</v>
      </c>
      <c r="E88" s="41">
        <f t="shared" si="54"/>
        <v>47.163007723112131</v>
      </c>
      <c r="F88" s="41">
        <f t="shared" si="54"/>
        <v>51.743063501144164</v>
      </c>
      <c r="G88" s="41">
        <f t="shared" si="54"/>
        <v>47.976044050343248</v>
      </c>
      <c r="H88" s="41">
        <f t="shared" si="54"/>
        <v>44.344572368421055</v>
      </c>
      <c r="I88" s="41">
        <f t="shared" si="54"/>
        <v>41.808245137299771</v>
      </c>
      <c r="J88" s="41">
        <f t="shared" si="54"/>
        <v>40.17691647597254</v>
      </c>
      <c r="K88" s="41">
        <f t="shared" si="54"/>
        <v>38.43800057208238</v>
      </c>
      <c r="L88" s="41">
        <f t="shared" si="54"/>
        <v>36.601151315789473</v>
      </c>
      <c r="M88" s="41">
        <f t="shared" si="54"/>
        <v>34.710347540045767</v>
      </c>
      <c r="N88" s="41">
        <f t="shared" si="54"/>
        <v>33.315217391304351</v>
      </c>
      <c r="O88" s="41">
        <f t="shared" si="54"/>
        <v>32.012442791762012</v>
      </c>
      <c r="P88" s="41">
        <f t="shared" si="54"/>
        <v>30.518950228832953</v>
      </c>
      <c r="Q88" s="41">
        <f t="shared" si="54"/>
        <v>28.844608123569795</v>
      </c>
      <c r="R88" s="41">
        <f t="shared" si="54"/>
        <v>27.910075800915333</v>
      </c>
      <c r="S88" s="41">
        <f t="shared" si="54"/>
        <v>27.176022597254004</v>
      </c>
      <c r="T88" s="41">
        <f t="shared" si="31"/>
        <v>26.59900600686499</v>
      </c>
      <c r="U88" s="41">
        <f t="shared" si="33"/>
        <v>25.256078375286041</v>
      </c>
      <c r="V88" s="41">
        <f t="shared" si="35"/>
        <v>24.148705663615562</v>
      </c>
      <c r="W88" s="41">
        <f t="shared" si="37"/>
        <v>23.143020594965677</v>
      </c>
      <c r="X88" s="41">
        <f t="shared" si="39"/>
        <v>22.675522025171624</v>
      </c>
      <c r="Y88" s="41">
        <f t="shared" si="41"/>
        <v>21.948762871853546</v>
      </c>
      <c r="Z88" s="41">
        <f t="shared" si="43"/>
        <v>21.070330377574372</v>
      </c>
      <c r="AA88" s="41">
        <f t="shared" si="45"/>
        <v>20.117777459954233</v>
      </c>
      <c r="AB88" s="41">
        <f t="shared" si="47"/>
        <v>19.150850972540045</v>
      </c>
      <c r="AC88" s="41">
        <f t="shared" si="49"/>
        <v>18.606943649885583</v>
      </c>
      <c r="AD88" s="41">
        <f t="shared" si="51"/>
        <v>18.080306064073227</v>
      </c>
      <c r="AE88" s="41">
        <f t="shared" ref="AE88:AT88" si="55">IF(AE34=0, "", AE34/$B34)</f>
        <v>17.570258867276888</v>
      </c>
      <c r="AF88" s="41">
        <f t="shared" si="55"/>
        <v>16.30216676201373</v>
      </c>
      <c r="AG88" s="41" t="str">
        <f t="shared" si="55"/>
        <v/>
      </c>
      <c r="AH88" s="41" t="str">
        <f t="shared" si="55"/>
        <v/>
      </c>
      <c r="AI88" s="41" t="str">
        <f t="shared" si="55"/>
        <v/>
      </c>
      <c r="AJ88" s="41" t="str">
        <f t="shared" si="55"/>
        <v/>
      </c>
      <c r="AK88" s="41" t="str">
        <f t="shared" si="55"/>
        <v/>
      </c>
      <c r="AL88" s="41" t="str">
        <f t="shared" si="55"/>
        <v/>
      </c>
      <c r="AM88" s="41" t="str">
        <f t="shared" si="55"/>
        <v/>
      </c>
      <c r="AN88" s="41" t="str">
        <f t="shared" si="55"/>
        <v/>
      </c>
      <c r="AO88" s="41" t="str">
        <f t="shared" si="55"/>
        <v/>
      </c>
      <c r="AP88" s="41" t="str">
        <f t="shared" si="55"/>
        <v/>
      </c>
      <c r="AQ88" s="41" t="str">
        <f t="shared" si="55"/>
        <v/>
      </c>
      <c r="AR88" s="41" t="str">
        <f t="shared" si="55"/>
        <v/>
      </c>
      <c r="AS88" s="41" t="str">
        <f t="shared" si="55"/>
        <v/>
      </c>
      <c r="AT88" s="41" t="str">
        <f t="shared" si="55"/>
        <v/>
      </c>
      <c r="AU88" s="23"/>
      <c r="AV88" s="23"/>
      <c r="AW88" s="23"/>
      <c r="AX88" s="23"/>
      <c r="AY88" s="23"/>
      <c r="AZ88" s="23"/>
      <c r="BA88" s="23"/>
      <c r="BB88" s="23"/>
      <c r="BC88" s="23"/>
      <c r="BD88" s="23"/>
      <c r="BE88" s="23"/>
      <c r="BF88" s="23"/>
      <c r="BG88" s="23"/>
      <c r="BH88" s="23"/>
      <c r="BI88" s="23"/>
      <c r="BJ88" s="23"/>
      <c r="BK88" s="23"/>
      <c r="BL88" s="23"/>
      <c r="BM88" s="24"/>
    </row>
    <row r="89" spans="1:65" ht="12.5" x14ac:dyDescent="0.25">
      <c r="A89" s="36">
        <v>14</v>
      </c>
      <c r="B89" s="35">
        <v>14311</v>
      </c>
      <c r="C89" s="41">
        <f t="shared" ref="C89:S89" si="56">IF(C35=0, "", C35/$B35)</f>
        <v>44.291593878834462</v>
      </c>
      <c r="D89" s="41">
        <f t="shared" si="56"/>
        <v>39.982181538676542</v>
      </c>
      <c r="E89" s="41">
        <f t="shared" si="56"/>
        <v>38.11354901823772</v>
      </c>
      <c r="F89" s="41">
        <f t="shared" si="56"/>
        <v>37.252812521836347</v>
      </c>
      <c r="G89" s="41">
        <f t="shared" si="56"/>
        <v>35.02389770106911</v>
      </c>
      <c r="H89" s="41">
        <f t="shared" si="56"/>
        <v>33.411571518412408</v>
      </c>
      <c r="I89" s="41">
        <f t="shared" si="56"/>
        <v>31.459017538956047</v>
      </c>
      <c r="J89" s="41">
        <f t="shared" si="56"/>
        <v>30.128153168891064</v>
      </c>
      <c r="K89" s="41">
        <f t="shared" si="56"/>
        <v>29.144923485430787</v>
      </c>
      <c r="L89" s="41">
        <f t="shared" si="56"/>
        <v>28.029138424987771</v>
      </c>
      <c r="M89" s="41">
        <f t="shared" si="56"/>
        <v>26.893368737334917</v>
      </c>
      <c r="N89" s="41">
        <f t="shared" si="56"/>
        <v>25.156872335965343</v>
      </c>
      <c r="O89" s="41">
        <f t="shared" si="56"/>
        <v>24.332261896443296</v>
      </c>
      <c r="P89" s="41">
        <f t="shared" si="56"/>
        <v>23.226748654880861</v>
      </c>
      <c r="Q89" s="41">
        <f t="shared" si="56"/>
        <v>22.31094961917406</v>
      </c>
      <c r="R89" s="41">
        <f t="shared" si="56"/>
        <v>21.623785898958843</v>
      </c>
      <c r="S89" s="41">
        <f t="shared" si="56"/>
        <v>20.962406540423451</v>
      </c>
      <c r="T89" s="41">
        <f t="shared" si="31"/>
        <v>20.434840332611277</v>
      </c>
      <c r="U89" s="41">
        <f t="shared" si="33"/>
        <v>19.958004332331772</v>
      </c>
      <c r="V89" s="41">
        <f t="shared" si="35"/>
        <v>19.38411012507861</v>
      </c>
      <c r="W89" s="41">
        <f t="shared" si="37"/>
        <v>18.242470826636854</v>
      </c>
      <c r="X89" s="41">
        <f t="shared" si="39"/>
        <v>17.258123122073929</v>
      </c>
      <c r="Y89" s="41">
        <f t="shared" si="41"/>
        <v>17.294738313185661</v>
      </c>
      <c r="Z89" s="41">
        <f t="shared" si="43"/>
        <v>16.495772482705611</v>
      </c>
      <c r="AA89" s="41">
        <f t="shared" si="45"/>
        <v>16.284815875899657</v>
      </c>
      <c r="AB89" s="41">
        <f t="shared" si="47"/>
        <v>15.341415694221228</v>
      </c>
      <c r="AC89" s="41">
        <f t="shared" si="49"/>
        <v>14.745650199147509</v>
      </c>
      <c r="AD89" s="41">
        <f t="shared" si="51"/>
        <v>14.174271539375306</v>
      </c>
      <c r="AE89" s="41">
        <f t="shared" ref="AE89:AT89" si="57">IF(AE35=0, "", AE35/$B35)</f>
        <v>13.827545244916498</v>
      </c>
      <c r="AF89" s="41">
        <f t="shared" si="57"/>
        <v>13.462371602263993</v>
      </c>
      <c r="AG89" s="41">
        <f t="shared" si="57"/>
        <v>12.070435329466843</v>
      </c>
      <c r="AH89" s="41" t="str">
        <f t="shared" si="57"/>
        <v/>
      </c>
      <c r="AI89" s="41" t="str">
        <f t="shared" si="57"/>
        <v/>
      </c>
      <c r="AJ89" s="41" t="str">
        <f t="shared" si="57"/>
        <v/>
      </c>
      <c r="AK89" s="41" t="str">
        <f t="shared" si="57"/>
        <v/>
      </c>
      <c r="AL89" s="41" t="str">
        <f t="shared" si="57"/>
        <v/>
      </c>
      <c r="AM89" s="41" t="str">
        <f t="shared" si="57"/>
        <v/>
      </c>
      <c r="AN89" s="41" t="str">
        <f t="shared" si="57"/>
        <v/>
      </c>
      <c r="AO89" s="41" t="str">
        <f t="shared" si="57"/>
        <v/>
      </c>
      <c r="AP89" s="41" t="str">
        <f t="shared" si="57"/>
        <v/>
      </c>
      <c r="AQ89" s="41" t="str">
        <f t="shared" si="57"/>
        <v/>
      </c>
      <c r="AR89" s="41" t="str">
        <f t="shared" si="57"/>
        <v/>
      </c>
      <c r="AS89" s="41" t="str">
        <f t="shared" si="57"/>
        <v/>
      </c>
      <c r="AT89" s="41" t="str">
        <f t="shared" si="57"/>
        <v/>
      </c>
      <c r="AU89" s="23"/>
      <c r="AV89" s="23"/>
      <c r="AW89" s="23"/>
      <c r="AX89" s="23"/>
      <c r="AY89" s="23"/>
      <c r="AZ89" s="23"/>
      <c r="BA89" s="23"/>
      <c r="BB89" s="23"/>
      <c r="BC89" s="23"/>
      <c r="BD89" s="23"/>
      <c r="BE89" s="23"/>
      <c r="BF89" s="23"/>
      <c r="BG89" s="23"/>
      <c r="BH89" s="23"/>
      <c r="BI89" s="23"/>
      <c r="BJ89" s="23"/>
      <c r="BK89" s="23"/>
      <c r="BL89" s="23"/>
      <c r="BM89" s="24"/>
    </row>
    <row r="90" spans="1:65" ht="12.5" x14ac:dyDescent="0.25">
      <c r="A90" s="36">
        <v>13</v>
      </c>
      <c r="B90" s="35">
        <v>11567</v>
      </c>
      <c r="C90" s="41">
        <f t="shared" ref="C90:S90" si="58">IF(C36=0, "", C36/$B36)</f>
        <v>42.335869283305954</v>
      </c>
      <c r="D90" s="41">
        <f t="shared" si="58"/>
        <v>38.073571366819401</v>
      </c>
      <c r="E90" s="41">
        <f t="shared" si="58"/>
        <v>35.230742629895389</v>
      </c>
      <c r="F90" s="41">
        <f t="shared" si="58"/>
        <v>34.051871703985476</v>
      </c>
      <c r="G90" s="41">
        <f t="shared" si="58"/>
        <v>31.571799083599895</v>
      </c>
      <c r="H90" s="41">
        <f t="shared" si="58"/>
        <v>30.691795625486296</v>
      </c>
      <c r="I90" s="41">
        <f t="shared" si="58"/>
        <v>29.145240771159333</v>
      </c>
      <c r="J90" s="41">
        <f t="shared" si="58"/>
        <v>27.533500475490619</v>
      </c>
      <c r="K90" s="41">
        <f t="shared" si="58"/>
        <v>26.36370709777816</v>
      </c>
      <c r="L90" s="41">
        <f t="shared" si="58"/>
        <v>25.660326791735109</v>
      </c>
      <c r="M90" s="41">
        <f t="shared" si="58"/>
        <v>24.526843606812484</v>
      </c>
      <c r="N90" s="41">
        <f t="shared" si="58"/>
        <v>23.479553903345725</v>
      </c>
      <c r="O90" s="41">
        <f t="shared" si="58"/>
        <v>21.948560560214403</v>
      </c>
      <c r="P90" s="41">
        <f t="shared" si="58"/>
        <v>21.310106336993169</v>
      </c>
      <c r="Q90" s="41">
        <f t="shared" si="58"/>
        <v>20.488026281663352</v>
      </c>
      <c r="R90" s="41">
        <f t="shared" si="58"/>
        <v>19.841964208524249</v>
      </c>
      <c r="S90" s="41">
        <f t="shared" si="58"/>
        <v>18.811619261692748</v>
      </c>
      <c r="T90" s="41">
        <f t="shared" si="31"/>
        <v>18.252615198409266</v>
      </c>
      <c r="U90" s="41">
        <f t="shared" si="33"/>
        <v>17.708653929281578</v>
      </c>
      <c r="V90" s="41">
        <f t="shared" si="35"/>
        <v>17.56557447912164</v>
      </c>
      <c r="W90" s="41">
        <f t="shared" si="37"/>
        <v>16.923921500821301</v>
      </c>
      <c r="X90" s="41">
        <f t="shared" si="39"/>
        <v>16.315985130111525</v>
      </c>
      <c r="Y90" s="41">
        <f t="shared" si="41"/>
        <v>15.631883807383073</v>
      </c>
      <c r="Z90" s="41">
        <f t="shared" si="43"/>
        <v>15.552347194605343</v>
      </c>
      <c r="AA90" s="41">
        <f t="shared" si="45"/>
        <v>14.827699489928245</v>
      </c>
      <c r="AB90" s="41">
        <f t="shared" si="47"/>
        <v>14.163136509034322</v>
      </c>
      <c r="AC90" s="41">
        <f t="shared" si="49"/>
        <v>13.528745569291951</v>
      </c>
      <c r="AD90" s="41">
        <f t="shared" si="51"/>
        <v>13.073225555459496</v>
      </c>
      <c r="AE90" s="41">
        <f t="shared" ref="AE90:AT90" si="59">IF(AE36=0, "", AE36/$B36)</f>
        <v>12.540935419728537</v>
      </c>
      <c r="AF90" s="41">
        <f t="shared" si="59"/>
        <v>12.096654275092936</v>
      </c>
      <c r="AG90" s="41">
        <f t="shared" si="59"/>
        <v>11.855883115760353</v>
      </c>
      <c r="AH90" s="41">
        <f t="shared" si="59"/>
        <v>10.243191838851907</v>
      </c>
      <c r="AI90" s="41" t="str">
        <f t="shared" si="59"/>
        <v/>
      </c>
      <c r="AJ90" s="41" t="str">
        <f t="shared" si="59"/>
        <v/>
      </c>
      <c r="AK90" s="41" t="str">
        <f t="shared" si="59"/>
        <v/>
      </c>
      <c r="AL90" s="41" t="str">
        <f t="shared" si="59"/>
        <v/>
      </c>
      <c r="AM90" s="41" t="str">
        <f t="shared" si="59"/>
        <v/>
      </c>
      <c r="AN90" s="41" t="str">
        <f t="shared" si="59"/>
        <v/>
      </c>
      <c r="AO90" s="41" t="str">
        <f t="shared" si="59"/>
        <v/>
      </c>
      <c r="AP90" s="41" t="str">
        <f t="shared" si="59"/>
        <v/>
      </c>
      <c r="AQ90" s="41" t="str">
        <f t="shared" si="59"/>
        <v/>
      </c>
      <c r="AR90" s="41" t="str">
        <f t="shared" si="59"/>
        <v/>
      </c>
      <c r="AS90" s="41" t="str">
        <f t="shared" si="59"/>
        <v/>
      </c>
      <c r="AT90" s="41" t="str">
        <f t="shared" si="59"/>
        <v/>
      </c>
      <c r="AU90" s="23"/>
      <c r="AV90" s="23"/>
      <c r="AW90" s="23"/>
      <c r="AX90" s="23"/>
      <c r="AY90" s="23"/>
      <c r="AZ90" s="23"/>
      <c r="BA90" s="23"/>
      <c r="BB90" s="23"/>
      <c r="BC90" s="23"/>
      <c r="BD90" s="23"/>
      <c r="BE90" s="23"/>
      <c r="BF90" s="23"/>
      <c r="BG90" s="23"/>
      <c r="BH90" s="23"/>
      <c r="BI90" s="23"/>
      <c r="BJ90" s="23"/>
      <c r="BK90" s="23"/>
      <c r="BL90" s="23"/>
      <c r="BM90" s="24"/>
    </row>
    <row r="91" spans="1:65" ht="12.5" x14ac:dyDescent="0.25">
      <c r="A91" s="36">
        <v>12</v>
      </c>
      <c r="B91" s="35">
        <v>14362</v>
      </c>
      <c r="C91" s="41">
        <f t="shared" ref="C91:S91" si="60">IF(C37=0, "", C37/$B37)</f>
        <v>33.867010165715079</v>
      </c>
      <c r="D91" s="41">
        <f t="shared" si="60"/>
        <v>33.442835259713135</v>
      </c>
      <c r="E91" s="41">
        <f t="shared" si="60"/>
        <v>31.498885949032168</v>
      </c>
      <c r="F91" s="41">
        <f t="shared" si="60"/>
        <v>30.002228101935664</v>
      </c>
      <c r="G91" s="41">
        <f t="shared" si="60"/>
        <v>28.085990809079515</v>
      </c>
      <c r="H91" s="41">
        <f t="shared" si="60"/>
        <v>27.343058069906697</v>
      </c>
      <c r="I91" s="41">
        <f t="shared" si="60"/>
        <v>26.98621361927308</v>
      </c>
      <c r="J91" s="41">
        <f t="shared" si="60"/>
        <v>25.551803370004176</v>
      </c>
      <c r="K91" s="41">
        <f t="shared" si="60"/>
        <v>24.375713688901268</v>
      </c>
      <c r="L91" s="41">
        <f t="shared" si="60"/>
        <v>23.483846260966438</v>
      </c>
      <c r="M91" s="41">
        <f t="shared" si="60"/>
        <v>22.994151232418883</v>
      </c>
      <c r="N91" s="41">
        <f t="shared" si="60"/>
        <v>22.245717866592397</v>
      </c>
      <c r="O91" s="41">
        <f t="shared" si="60"/>
        <v>21.365408717448823</v>
      </c>
      <c r="P91" s="41">
        <f t="shared" si="60"/>
        <v>20.351831221278374</v>
      </c>
      <c r="Q91" s="41">
        <f t="shared" si="60"/>
        <v>19.509817574154017</v>
      </c>
      <c r="R91" s="41">
        <f t="shared" si="60"/>
        <v>18.93350508285754</v>
      </c>
      <c r="S91" s="41">
        <f t="shared" si="60"/>
        <v>18.183818409692243</v>
      </c>
      <c r="T91" s="41">
        <f t="shared" si="31"/>
        <v>17.799331569419302</v>
      </c>
      <c r="U91" s="41">
        <f t="shared" si="33"/>
        <v>17.217657707840132</v>
      </c>
      <c r="V91" s="41">
        <f t="shared" si="35"/>
        <v>16.799679710346748</v>
      </c>
      <c r="W91" s="41">
        <f t="shared" si="37"/>
        <v>16.421807547695305</v>
      </c>
      <c r="X91" s="41">
        <f t="shared" si="39"/>
        <v>15.886993454950565</v>
      </c>
      <c r="Y91" s="41">
        <f t="shared" si="41"/>
        <v>15.221139117114609</v>
      </c>
      <c r="Z91" s="41">
        <f t="shared" si="43"/>
        <v>14.679153321264447</v>
      </c>
      <c r="AA91" s="41">
        <f t="shared" si="45"/>
        <v>14.679222949449937</v>
      </c>
      <c r="AB91" s="41">
        <f t="shared" si="47"/>
        <v>13.932948057373626</v>
      </c>
      <c r="AC91" s="41">
        <f t="shared" si="49"/>
        <v>13.493454950563988</v>
      </c>
      <c r="AD91" s="41">
        <f t="shared" si="51"/>
        <v>13.228310820220026</v>
      </c>
      <c r="AE91" s="41">
        <f t="shared" ref="AE91:AT91" si="61">IF(AE37=0, "", AE37/$B37)</f>
        <v>12.418883163904749</v>
      </c>
      <c r="AF91" s="41">
        <f t="shared" si="61"/>
        <v>12.097757972427239</v>
      </c>
      <c r="AG91" s="41">
        <f t="shared" si="61"/>
        <v>11.591491435733184</v>
      </c>
      <c r="AH91" s="41">
        <f t="shared" si="61"/>
        <v>11.371466369586409</v>
      </c>
      <c r="AI91" s="41">
        <f t="shared" si="61"/>
        <v>9.9547416794318337</v>
      </c>
      <c r="AJ91" s="41" t="str">
        <f t="shared" si="61"/>
        <v/>
      </c>
      <c r="AK91" s="41" t="str">
        <f t="shared" si="61"/>
        <v/>
      </c>
      <c r="AL91" s="41" t="str">
        <f t="shared" si="61"/>
        <v/>
      </c>
      <c r="AM91" s="41" t="str">
        <f t="shared" si="61"/>
        <v/>
      </c>
      <c r="AN91" s="41" t="str">
        <f t="shared" si="61"/>
        <v/>
      </c>
      <c r="AO91" s="41" t="str">
        <f t="shared" si="61"/>
        <v/>
      </c>
      <c r="AP91" s="41" t="str">
        <f t="shared" si="61"/>
        <v/>
      </c>
      <c r="AQ91" s="41" t="str">
        <f t="shared" si="61"/>
        <v/>
      </c>
      <c r="AR91" s="41" t="str">
        <f t="shared" si="61"/>
        <v/>
      </c>
      <c r="AS91" s="41" t="str">
        <f t="shared" si="61"/>
        <v/>
      </c>
      <c r="AT91" s="41" t="str">
        <f t="shared" si="61"/>
        <v/>
      </c>
      <c r="AU91" s="23"/>
      <c r="AV91" s="23"/>
      <c r="AW91" s="23"/>
      <c r="AX91" s="23"/>
      <c r="AY91" s="23"/>
      <c r="AZ91" s="23"/>
      <c r="BA91" s="23"/>
      <c r="BB91" s="23"/>
      <c r="BC91" s="23"/>
      <c r="BD91" s="23"/>
      <c r="BE91" s="23"/>
      <c r="BF91" s="23"/>
      <c r="BG91" s="23"/>
      <c r="BH91" s="23"/>
      <c r="BI91" s="23"/>
      <c r="BJ91" s="23"/>
      <c r="BK91" s="23"/>
      <c r="BL91" s="23"/>
      <c r="BM91" s="24"/>
    </row>
    <row r="92" spans="1:65" ht="12.5" x14ac:dyDescent="0.25">
      <c r="A92" s="36">
        <v>11</v>
      </c>
      <c r="B92" s="35">
        <v>18709</v>
      </c>
      <c r="C92" s="41">
        <f t="shared" ref="C92:S92" si="62">IF(C38=0, "", C38/$B38)</f>
        <v>30.977176759848202</v>
      </c>
      <c r="D92" s="41">
        <f t="shared" si="62"/>
        <v>25.735421454914746</v>
      </c>
      <c r="E92" s="41">
        <f t="shared" si="62"/>
        <v>26.622107007322679</v>
      </c>
      <c r="F92" s="41">
        <f t="shared" si="62"/>
        <v>25.975092201614196</v>
      </c>
      <c r="G92" s="41">
        <f t="shared" si="62"/>
        <v>24.441659094553422</v>
      </c>
      <c r="H92" s="41">
        <f t="shared" si="62"/>
        <v>23.719867443476403</v>
      </c>
      <c r="I92" s="41">
        <f t="shared" si="62"/>
        <v>23.170773424555026</v>
      </c>
      <c r="J92" s="41">
        <f t="shared" si="62"/>
        <v>22.968197124378641</v>
      </c>
      <c r="K92" s="41">
        <f t="shared" si="62"/>
        <v>22.328130846116842</v>
      </c>
      <c r="L92" s="41">
        <f t="shared" si="62"/>
        <v>21.139023999144797</v>
      </c>
      <c r="M92" s="41">
        <f t="shared" si="62"/>
        <v>20.5178256454113</v>
      </c>
      <c r="N92" s="41">
        <f t="shared" si="62"/>
        <v>19.927200812443211</v>
      </c>
      <c r="O92" s="41">
        <f t="shared" si="62"/>
        <v>19.703137527393235</v>
      </c>
      <c r="P92" s="41">
        <f t="shared" si="62"/>
        <v>18.831043882623337</v>
      </c>
      <c r="Q92" s="41">
        <f t="shared" si="62"/>
        <v>18.122828585172911</v>
      </c>
      <c r="R92" s="41">
        <f t="shared" si="62"/>
        <v>17.514297931476829</v>
      </c>
      <c r="S92" s="41">
        <f t="shared" si="62"/>
        <v>16.830402480089795</v>
      </c>
      <c r="T92" s="41">
        <f t="shared" si="31"/>
        <v>16.173071783633546</v>
      </c>
      <c r="U92" s="41">
        <f t="shared" si="33"/>
        <v>15.91790047570688</v>
      </c>
      <c r="V92" s="41">
        <f t="shared" si="35"/>
        <v>15.483350259233523</v>
      </c>
      <c r="W92" s="41">
        <f t="shared" si="37"/>
        <v>15.102677855577529</v>
      </c>
      <c r="X92" s="41">
        <f t="shared" si="39"/>
        <v>14.82356085306537</v>
      </c>
      <c r="Y92" s="41">
        <f t="shared" si="41"/>
        <v>14.620931102677856</v>
      </c>
      <c r="Z92" s="41">
        <f t="shared" si="43"/>
        <v>13.875621358704366</v>
      </c>
      <c r="AA92" s="41">
        <f t="shared" si="45"/>
        <v>13.471698113207546</v>
      </c>
      <c r="AB92" s="41">
        <f t="shared" si="47"/>
        <v>13.498316318349458</v>
      </c>
      <c r="AC92" s="41">
        <f t="shared" si="49"/>
        <v>12.930247474477524</v>
      </c>
      <c r="AD92" s="41">
        <f t="shared" si="51"/>
        <v>12.431717355283553</v>
      </c>
      <c r="AE92" s="41">
        <f t="shared" ref="AE92:AT92" si="63">IF(AE38=0, "", AE38/$B38)</f>
        <v>11.786573306964563</v>
      </c>
      <c r="AF92" s="41">
        <f t="shared" si="63"/>
        <v>11.3022074937196</v>
      </c>
      <c r="AG92" s="41">
        <f t="shared" si="63"/>
        <v>10.819926238708643</v>
      </c>
      <c r="AH92" s="41">
        <f t="shared" si="63"/>
        <v>10.452830188679245</v>
      </c>
      <c r="AI92" s="41">
        <f t="shared" si="63"/>
        <v>10.14885883799241</v>
      </c>
      <c r="AJ92" s="41">
        <f t="shared" si="63"/>
        <v>8.9516810091399854</v>
      </c>
      <c r="AK92" s="41" t="str">
        <f t="shared" si="63"/>
        <v/>
      </c>
      <c r="AL92" s="41" t="str">
        <f t="shared" si="63"/>
        <v/>
      </c>
      <c r="AM92" s="41" t="str">
        <f t="shared" si="63"/>
        <v/>
      </c>
      <c r="AN92" s="41" t="str">
        <f t="shared" si="63"/>
        <v/>
      </c>
      <c r="AO92" s="41" t="str">
        <f t="shared" si="63"/>
        <v/>
      </c>
      <c r="AP92" s="41" t="str">
        <f t="shared" si="63"/>
        <v/>
      </c>
      <c r="AQ92" s="41" t="str">
        <f t="shared" si="63"/>
        <v/>
      </c>
      <c r="AR92" s="41" t="str">
        <f t="shared" si="63"/>
        <v/>
      </c>
      <c r="AS92" s="41" t="str">
        <f t="shared" si="63"/>
        <v/>
      </c>
      <c r="AT92" s="41" t="str">
        <f t="shared" si="63"/>
        <v/>
      </c>
      <c r="AU92" s="23"/>
      <c r="AV92" s="23"/>
      <c r="AW92" s="23"/>
      <c r="AX92" s="23"/>
      <c r="AY92" s="23"/>
      <c r="AZ92" s="23"/>
      <c r="BA92" s="23"/>
      <c r="BB92" s="23"/>
      <c r="BC92" s="23"/>
      <c r="BD92" s="23"/>
      <c r="BE92" s="23"/>
      <c r="BF92" s="23"/>
      <c r="BG92" s="23"/>
      <c r="BH92" s="23"/>
      <c r="BI92" s="23"/>
      <c r="BJ92" s="23"/>
      <c r="BK92" s="23"/>
      <c r="BL92" s="23"/>
      <c r="BM92" s="24"/>
    </row>
    <row r="93" spans="1:65" ht="12.5" x14ac:dyDescent="0.25">
      <c r="A93" s="36">
        <v>10</v>
      </c>
      <c r="B93" s="35">
        <v>21946</v>
      </c>
      <c r="C93" s="41">
        <f t="shared" ref="C93:S93" si="64">IF(C39=0, "", C39/$B39)</f>
        <v>28.112685683040191</v>
      </c>
      <c r="D93" s="41">
        <f t="shared" si="64"/>
        <v>25.6103162307482</v>
      </c>
      <c r="E93" s="41">
        <f t="shared" si="64"/>
        <v>22.811172878884534</v>
      </c>
      <c r="F93" s="41">
        <f t="shared" si="64"/>
        <v>22.428506333728244</v>
      </c>
      <c r="G93" s="41">
        <f t="shared" si="64"/>
        <v>20.829672833318146</v>
      </c>
      <c r="H93" s="41">
        <f t="shared" si="64"/>
        <v>20.013533217898477</v>
      </c>
      <c r="I93" s="41">
        <f t="shared" si="64"/>
        <v>19.192107901212065</v>
      </c>
      <c r="J93" s="41">
        <f t="shared" si="64"/>
        <v>18.506288161851817</v>
      </c>
      <c r="K93" s="41">
        <f t="shared" si="64"/>
        <v>18.219857832862481</v>
      </c>
      <c r="L93" s="41">
        <f t="shared" si="64"/>
        <v>17.404310580515812</v>
      </c>
      <c r="M93" s="41">
        <f t="shared" si="64"/>
        <v>16.592545338558278</v>
      </c>
      <c r="N93" s="41">
        <f t="shared" si="64"/>
        <v>15.95725872596373</v>
      </c>
      <c r="O93" s="41">
        <f t="shared" si="64"/>
        <v>15.616285427868405</v>
      </c>
      <c r="P93" s="41">
        <f t="shared" si="64"/>
        <v>15.058826209787661</v>
      </c>
      <c r="Q93" s="41">
        <f t="shared" si="64"/>
        <v>14.61186548801604</v>
      </c>
      <c r="R93" s="41">
        <f t="shared" si="64"/>
        <v>13.977535769616331</v>
      </c>
      <c r="S93" s="41">
        <f t="shared" si="64"/>
        <v>13.212886175157204</v>
      </c>
      <c r="T93" s="41">
        <f t="shared" si="31"/>
        <v>12.893830310762782</v>
      </c>
      <c r="U93" s="41">
        <f t="shared" si="33"/>
        <v>12.646313679030348</v>
      </c>
      <c r="V93" s="41">
        <f t="shared" si="35"/>
        <v>12.205777818281236</v>
      </c>
      <c r="W93" s="41">
        <f t="shared" si="37"/>
        <v>11.911874601294086</v>
      </c>
      <c r="X93" s="41">
        <f t="shared" si="39"/>
        <v>11.704638658525472</v>
      </c>
      <c r="Y93" s="41">
        <f t="shared" si="41"/>
        <v>11.512120659801331</v>
      </c>
      <c r="Z93" s="41">
        <f t="shared" si="43"/>
        <v>11.157659710197757</v>
      </c>
      <c r="AA93" s="41">
        <f t="shared" si="45"/>
        <v>10.620113004647772</v>
      </c>
      <c r="AB93" s="41">
        <f t="shared" si="47"/>
        <v>10.239177982320241</v>
      </c>
      <c r="AC93" s="41">
        <f t="shared" si="49"/>
        <v>10.075275676660896</v>
      </c>
      <c r="AD93" s="41">
        <f t="shared" si="51"/>
        <v>9.8713205139888824</v>
      </c>
      <c r="AE93" s="41">
        <f t="shared" ref="AE93:AT93" si="65">IF(AE39=0, "", AE39/$B39)</f>
        <v>9.4427230474801789</v>
      </c>
      <c r="AF93" s="41">
        <f t="shared" si="65"/>
        <v>9.1397976852273768</v>
      </c>
      <c r="AG93" s="41">
        <f t="shared" si="65"/>
        <v>8.5770527658798876</v>
      </c>
      <c r="AH93" s="41">
        <f t="shared" si="65"/>
        <v>8.3158206506880532</v>
      </c>
      <c r="AI93" s="41">
        <f t="shared" si="65"/>
        <v>8.0101613050214162</v>
      </c>
      <c r="AJ93" s="41">
        <f t="shared" si="65"/>
        <v>7.9061788025152646</v>
      </c>
      <c r="AK93" s="41">
        <f t="shared" si="65"/>
        <v>6.6403900483003735</v>
      </c>
      <c r="AL93" s="41" t="str">
        <f t="shared" si="65"/>
        <v/>
      </c>
      <c r="AM93" s="41" t="str">
        <f t="shared" si="65"/>
        <v/>
      </c>
      <c r="AN93" s="41" t="str">
        <f t="shared" si="65"/>
        <v/>
      </c>
      <c r="AO93" s="41" t="str">
        <f t="shared" si="65"/>
        <v/>
      </c>
      <c r="AP93" s="41" t="str">
        <f t="shared" si="65"/>
        <v/>
      </c>
      <c r="AQ93" s="41" t="str">
        <f t="shared" si="65"/>
        <v/>
      </c>
      <c r="AR93" s="41" t="str">
        <f t="shared" si="65"/>
        <v/>
      </c>
      <c r="AS93" s="41" t="str">
        <f t="shared" si="65"/>
        <v/>
      </c>
      <c r="AT93" s="41" t="str">
        <f t="shared" si="65"/>
        <v/>
      </c>
      <c r="AU93" s="23"/>
      <c r="AV93" s="23"/>
      <c r="AW93" s="23"/>
      <c r="AX93" s="23"/>
      <c r="AY93" s="23"/>
      <c r="AZ93" s="23"/>
      <c r="BA93" s="23"/>
      <c r="BB93" s="23"/>
      <c r="BC93" s="23"/>
      <c r="BD93" s="23"/>
      <c r="BE93" s="23"/>
      <c r="BF93" s="23"/>
      <c r="BG93" s="23"/>
      <c r="BH93" s="23"/>
      <c r="BI93" s="23"/>
      <c r="BJ93" s="23"/>
      <c r="BK93" s="23"/>
      <c r="BL93" s="23"/>
      <c r="BM93" s="24"/>
    </row>
    <row r="94" spans="1:65" ht="12.5" x14ac:dyDescent="0.25">
      <c r="A94" s="36">
        <v>9</v>
      </c>
      <c r="B94" s="35">
        <v>13502</v>
      </c>
      <c r="C94" s="41">
        <f t="shared" ref="C94:S94" si="66">IF(C40=0, "", C40/$B40)</f>
        <v>33.02518145459932</v>
      </c>
      <c r="D94" s="41">
        <f t="shared" si="66"/>
        <v>28.691601244260109</v>
      </c>
      <c r="E94" s="41">
        <f t="shared" si="66"/>
        <v>26.916827136720485</v>
      </c>
      <c r="F94" s="41">
        <f t="shared" si="66"/>
        <v>24.896237594430456</v>
      </c>
      <c r="G94" s="41">
        <f t="shared" si="66"/>
        <v>23.228410605836171</v>
      </c>
      <c r="H94" s="41">
        <f t="shared" si="66"/>
        <v>22.298178047696638</v>
      </c>
      <c r="I94" s="41">
        <f t="shared" si="66"/>
        <v>21.144941490149609</v>
      </c>
      <c r="J94" s="41">
        <f t="shared" si="66"/>
        <v>20.174048289142348</v>
      </c>
      <c r="K94" s="41">
        <f t="shared" si="66"/>
        <v>19.329877055251075</v>
      </c>
      <c r="L94" s="41">
        <f t="shared" si="66"/>
        <v>19.279884461561249</v>
      </c>
      <c r="M94" s="41">
        <f t="shared" si="66"/>
        <v>18.209302325581394</v>
      </c>
      <c r="N94" s="41">
        <f t="shared" si="66"/>
        <v>17.175677677381127</v>
      </c>
      <c r="O94" s="41">
        <f t="shared" si="66"/>
        <v>16.953784624500074</v>
      </c>
      <c r="P94" s="41">
        <f t="shared" si="66"/>
        <v>16.186268700933194</v>
      </c>
      <c r="Q94" s="41">
        <f t="shared" si="66"/>
        <v>15.83661679751148</v>
      </c>
      <c r="R94" s="41">
        <f t="shared" si="66"/>
        <v>15.121685676196119</v>
      </c>
      <c r="S94" s="41">
        <f t="shared" si="66"/>
        <v>14.476373870537698</v>
      </c>
      <c r="T94" s="41">
        <f t="shared" si="31"/>
        <v>13.866686416827136</v>
      </c>
      <c r="U94" s="41">
        <f t="shared" si="33"/>
        <v>13.256406458302473</v>
      </c>
      <c r="V94" s="41">
        <f t="shared" si="35"/>
        <v>13.063916456821211</v>
      </c>
      <c r="W94" s="41">
        <f t="shared" si="37"/>
        <v>12.877499629684491</v>
      </c>
      <c r="X94" s="41">
        <f t="shared" si="39"/>
        <v>12.502666271663458</v>
      </c>
      <c r="Y94" s="41">
        <f t="shared" si="41"/>
        <v>12.39527477410754</v>
      </c>
      <c r="Z94" s="41">
        <f t="shared" si="43"/>
        <v>12.232410013331359</v>
      </c>
      <c r="AA94" s="41">
        <f t="shared" si="45"/>
        <v>11.63486890830988</v>
      </c>
      <c r="AB94" s="41">
        <f t="shared" si="47"/>
        <v>11.356761961190935</v>
      </c>
      <c r="AC94" s="41">
        <f t="shared" si="49"/>
        <v>11.036587172270774</v>
      </c>
      <c r="AD94" s="41">
        <f t="shared" si="51"/>
        <v>10.690860613242483</v>
      </c>
      <c r="AE94" s="41">
        <f t="shared" ref="AE94:AT94" si="67">IF(AE40=0, "", AE40/$B40)</f>
        <v>10.462005628795733</v>
      </c>
      <c r="AF94" s="41">
        <f t="shared" si="67"/>
        <v>10.165901347948452</v>
      </c>
      <c r="AG94" s="41">
        <f t="shared" si="67"/>
        <v>9.5994667456673088</v>
      </c>
      <c r="AH94" s="41">
        <f t="shared" si="67"/>
        <v>8.9745222929936297</v>
      </c>
      <c r="AI94" s="41">
        <f t="shared" si="67"/>
        <v>8.6784920752481121</v>
      </c>
      <c r="AJ94" s="41">
        <f t="shared" si="67"/>
        <v>8.5875425862835133</v>
      </c>
      <c r="AK94" s="41">
        <f t="shared" si="67"/>
        <v>8.3621685676196122</v>
      </c>
      <c r="AL94" s="41">
        <f t="shared" si="67"/>
        <v>7.2967708487631464</v>
      </c>
      <c r="AM94" s="41" t="str">
        <f t="shared" si="67"/>
        <v/>
      </c>
      <c r="AN94" s="41" t="str">
        <f t="shared" si="67"/>
        <v/>
      </c>
      <c r="AO94" s="41" t="str">
        <f t="shared" si="67"/>
        <v/>
      </c>
      <c r="AP94" s="41" t="str">
        <f t="shared" si="67"/>
        <v/>
      </c>
      <c r="AQ94" s="41" t="str">
        <f t="shared" si="67"/>
        <v/>
      </c>
      <c r="AR94" s="41" t="str">
        <f t="shared" si="67"/>
        <v/>
      </c>
      <c r="AS94" s="41" t="str">
        <f t="shared" si="67"/>
        <v/>
      </c>
      <c r="AT94" s="41" t="str">
        <f t="shared" si="67"/>
        <v/>
      </c>
      <c r="AU94" s="23"/>
      <c r="AV94" s="23"/>
      <c r="AW94" s="23"/>
      <c r="AX94" s="23"/>
      <c r="AY94" s="23"/>
      <c r="AZ94" s="23"/>
      <c r="BA94" s="23"/>
      <c r="BB94" s="23"/>
      <c r="BC94" s="23"/>
      <c r="BD94" s="23"/>
      <c r="BE94" s="23"/>
      <c r="BF94" s="23"/>
      <c r="BG94" s="23"/>
      <c r="BH94" s="23"/>
      <c r="BI94" s="23"/>
      <c r="BJ94" s="23"/>
      <c r="BK94" s="23"/>
      <c r="BL94" s="23"/>
      <c r="BM94" s="24"/>
    </row>
    <row r="95" spans="1:65" ht="12.5" x14ac:dyDescent="0.25">
      <c r="A95" s="36">
        <v>8</v>
      </c>
      <c r="B95" s="35">
        <v>13102</v>
      </c>
      <c r="C95" s="41">
        <f t="shared" ref="C95:S95" si="68">IF(C41=0, "", C41/$B41)</f>
        <v>31.808502518699434</v>
      </c>
      <c r="D95" s="41">
        <f t="shared" si="68"/>
        <v>30.982750725080141</v>
      </c>
      <c r="E95" s="41">
        <f t="shared" si="68"/>
        <v>27.85200732712563</v>
      </c>
      <c r="F95" s="41">
        <f t="shared" si="68"/>
        <v>26.616776064722941</v>
      </c>
      <c r="G95" s="41">
        <f t="shared" si="68"/>
        <v>24.124408487253856</v>
      </c>
      <c r="H95" s="41">
        <f t="shared" si="68"/>
        <v>23.245153411692872</v>
      </c>
      <c r="I95" s="41">
        <f t="shared" si="68"/>
        <v>21.882994962601131</v>
      </c>
      <c r="J95" s="41">
        <f t="shared" si="68"/>
        <v>21.131048694855746</v>
      </c>
      <c r="K95" s="41">
        <f t="shared" si="68"/>
        <v>20.274996183788733</v>
      </c>
      <c r="L95" s="41">
        <f t="shared" si="68"/>
        <v>19.495802167607998</v>
      </c>
      <c r="M95" s="41">
        <f t="shared" si="68"/>
        <v>19.215692260723554</v>
      </c>
      <c r="N95" s="41">
        <f t="shared" si="68"/>
        <v>18.514959548160586</v>
      </c>
      <c r="O95" s="41">
        <f t="shared" si="68"/>
        <v>17.429247443138451</v>
      </c>
      <c r="P95" s="41">
        <f t="shared" si="68"/>
        <v>16.875438864295528</v>
      </c>
      <c r="Q95" s="41">
        <f t="shared" si="68"/>
        <v>16.30125171729507</v>
      </c>
      <c r="R95" s="41">
        <f t="shared" si="68"/>
        <v>15.939016943978018</v>
      </c>
      <c r="S95" s="41">
        <f t="shared" si="68"/>
        <v>15.523736834071133</v>
      </c>
      <c r="T95" s="41">
        <f t="shared" si="31"/>
        <v>14.598687223324683</v>
      </c>
      <c r="U95" s="41">
        <f t="shared" si="33"/>
        <v>14.106243321630286</v>
      </c>
      <c r="V95" s="41">
        <f t="shared" si="35"/>
        <v>13.778430773927644</v>
      </c>
      <c r="W95" s="41">
        <f t="shared" si="37"/>
        <v>13.581895893756679</v>
      </c>
      <c r="X95" s="41">
        <f t="shared" si="39"/>
        <v>13.108914669516105</v>
      </c>
      <c r="Y95" s="41">
        <f t="shared" si="41"/>
        <v>12.85452602656083</v>
      </c>
      <c r="Z95" s="41">
        <f t="shared" si="43"/>
        <v>12.638146847809494</v>
      </c>
      <c r="AA95" s="41">
        <f t="shared" si="45"/>
        <v>12.390169439780186</v>
      </c>
      <c r="AB95" s="41">
        <f t="shared" si="47"/>
        <v>11.848038467409555</v>
      </c>
      <c r="AC95" s="41">
        <f t="shared" si="49"/>
        <v>11.439016943978018</v>
      </c>
      <c r="AD95" s="41">
        <f t="shared" si="51"/>
        <v>10.979239810715921</v>
      </c>
      <c r="AE95" s="41">
        <f t="shared" ref="AE95:AT95" si="69">IF(AE41=0, "", AE41/$B41)</f>
        <v>10.850862463745994</v>
      </c>
      <c r="AF95" s="41">
        <f t="shared" si="69"/>
        <v>10.649900778507098</v>
      </c>
      <c r="AG95" s="41">
        <f t="shared" si="69"/>
        <v>10.075866279957259</v>
      </c>
      <c r="AH95" s="41">
        <f t="shared" si="69"/>
        <v>9.8008700961685236</v>
      </c>
      <c r="AI95" s="41">
        <f t="shared" si="69"/>
        <v>9.2370630438101049</v>
      </c>
      <c r="AJ95" s="41">
        <f t="shared" si="69"/>
        <v>8.8675011448633789</v>
      </c>
      <c r="AK95" s="41">
        <f t="shared" si="69"/>
        <v>8.475805220577012</v>
      </c>
      <c r="AL95" s="41">
        <f t="shared" si="69"/>
        <v>8.3628453671195242</v>
      </c>
      <c r="AM95" s="41">
        <f t="shared" si="69"/>
        <v>7.3491070065638837</v>
      </c>
      <c r="AN95" s="41" t="str">
        <f t="shared" si="69"/>
        <v/>
      </c>
      <c r="AO95" s="41" t="str">
        <f t="shared" si="69"/>
        <v/>
      </c>
      <c r="AP95" s="41" t="str">
        <f t="shared" si="69"/>
        <v/>
      </c>
      <c r="AQ95" s="41" t="str">
        <f t="shared" si="69"/>
        <v/>
      </c>
      <c r="AR95" s="41" t="str">
        <f t="shared" si="69"/>
        <v/>
      </c>
      <c r="AS95" s="41" t="str">
        <f t="shared" si="69"/>
        <v/>
      </c>
      <c r="AT95" s="41" t="str">
        <f t="shared" si="69"/>
        <v/>
      </c>
      <c r="AU95" s="23"/>
      <c r="AV95" s="23"/>
      <c r="AW95" s="23"/>
      <c r="AX95" s="23"/>
      <c r="AY95" s="23"/>
      <c r="AZ95" s="23"/>
      <c r="BA95" s="23"/>
      <c r="BB95" s="23"/>
      <c r="BC95" s="23"/>
      <c r="BD95" s="23"/>
      <c r="BE95" s="23"/>
      <c r="BF95" s="23"/>
      <c r="BG95" s="23"/>
      <c r="BH95" s="23"/>
      <c r="BI95" s="23"/>
      <c r="BJ95" s="23"/>
      <c r="BK95" s="23"/>
      <c r="BL95" s="23"/>
      <c r="BM95" s="24"/>
    </row>
    <row r="96" spans="1:65" ht="12.5" x14ac:dyDescent="0.25">
      <c r="A96" s="36">
        <v>7</v>
      </c>
      <c r="B96" s="35">
        <v>13354</v>
      </c>
      <c r="C96" s="41">
        <f t="shared" ref="C96:S96" si="70">IF(C42=0, "", C42/$B42)</f>
        <v>31.162198592182119</v>
      </c>
      <c r="D96" s="41">
        <f t="shared" si="70"/>
        <v>28.836603264939345</v>
      </c>
      <c r="E96" s="41">
        <f t="shared" si="70"/>
        <v>28.858619140332486</v>
      </c>
      <c r="F96" s="41">
        <f t="shared" si="70"/>
        <v>25.968623633368278</v>
      </c>
      <c r="G96" s="41">
        <f t="shared" si="70"/>
        <v>24.034221955968249</v>
      </c>
      <c r="H96" s="41">
        <f t="shared" si="70"/>
        <v>22.50389396435525</v>
      </c>
      <c r="I96" s="41">
        <f t="shared" si="70"/>
        <v>21.671484199490788</v>
      </c>
      <c r="J96" s="41">
        <f t="shared" si="70"/>
        <v>20.530927063052268</v>
      </c>
      <c r="K96" s="41">
        <f t="shared" si="70"/>
        <v>19.489141830163248</v>
      </c>
      <c r="L96" s="41">
        <f t="shared" si="70"/>
        <v>18.813838550247116</v>
      </c>
      <c r="M96" s="41">
        <f t="shared" si="70"/>
        <v>18.168938145873895</v>
      </c>
      <c r="N96" s="41">
        <f t="shared" si="70"/>
        <v>17.844840497229296</v>
      </c>
      <c r="O96" s="41">
        <f t="shared" si="70"/>
        <v>17.233488093455144</v>
      </c>
      <c r="P96" s="41">
        <f t="shared" si="70"/>
        <v>16.306125505466525</v>
      </c>
      <c r="Q96" s="41">
        <f t="shared" si="70"/>
        <v>15.940167740002995</v>
      </c>
      <c r="R96" s="41">
        <f t="shared" si="70"/>
        <v>15.576531376366631</v>
      </c>
      <c r="S96" s="41">
        <f t="shared" si="70"/>
        <v>14.882282462183616</v>
      </c>
      <c r="T96" s="41">
        <f t="shared" si="31"/>
        <v>14.537292197094503</v>
      </c>
      <c r="U96" s="41">
        <f t="shared" si="33"/>
        <v>13.685337726523889</v>
      </c>
      <c r="V96" s="41">
        <f t="shared" si="35"/>
        <v>13.448929159802306</v>
      </c>
      <c r="W96" s="41">
        <f t="shared" si="37"/>
        <v>12.938445409615097</v>
      </c>
      <c r="X96" s="41">
        <f t="shared" si="39"/>
        <v>12.886401078328591</v>
      </c>
      <c r="Y96" s="41">
        <f t="shared" si="41"/>
        <v>12.435824472068294</v>
      </c>
      <c r="Z96" s="41">
        <f t="shared" si="43"/>
        <v>12.300059907143927</v>
      </c>
      <c r="AA96" s="41">
        <f t="shared" si="45"/>
        <v>11.976411562078779</v>
      </c>
      <c r="AB96" s="41">
        <f t="shared" si="47"/>
        <v>11.663920922570016</v>
      </c>
      <c r="AC96" s="41">
        <f t="shared" si="49"/>
        <v>11.501572562528082</v>
      </c>
      <c r="AD96" s="41">
        <f t="shared" si="51"/>
        <v>10.976411562078779</v>
      </c>
      <c r="AE96" s="41">
        <f t="shared" ref="AE96:AT96" si="71">IF(AE42=0, "", AE42/$B42)</f>
        <v>10.487344615845439</v>
      </c>
      <c r="AF96" s="41">
        <f t="shared" si="71"/>
        <v>10.289126853377265</v>
      </c>
      <c r="AG96" s="41">
        <f t="shared" si="71"/>
        <v>9.9824771604013787</v>
      </c>
      <c r="AH96" s="41">
        <f t="shared" si="71"/>
        <v>9.5673206529878687</v>
      </c>
      <c r="AI96" s="41">
        <f t="shared" si="71"/>
        <v>8.989815785532425</v>
      </c>
      <c r="AJ96" s="41">
        <f t="shared" si="71"/>
        <v>8.5896360641006435</v>
      </c>
      <c r="AK96" s="41">
        <f t="shared" si="71"/>
        <v>8.5749588138385509</v>
      </c>
      <c r="AL96" s="41">
        <f t="shared" si="71"/>
        <v>8.1489441365882875</v>
      </c>
      <c r="AM96" s="41">
        <f t="shared" si="71"/>
        <v>8.1076082072787177</v>
      </c>
      <c r="AN96" s="41">
        <f t="shared" si="71"/>
        <v>7.1234087164894415</v>
      </c>
      <c r="AO96" s="41" t="str">
        <f t="shared" si="71"/>
        <v/>
      </c>
      <c r="AP96" s="41" t="str">
        <f t="shared" si="71"/>
        <v/>
      </c>
      <c r="AQ96" s="41" t="str">
        <f t="shared" si="71"/>
        <v/>
      </c>
      <c r="AR96" s="41" t="str">
        <f t="shared" si="71"/>
        <v/>
      </c>
      <c r="AS96" s="41" t="str">
        <f t="shared" si="71"/>
        <v/>
      </c>
      <c r="AT96" s="41" t="str">
        <f t="shared" si="71"/>
        <v/>
      </c>
      <c r="AU96" s="23"/>
      <c r="AV96" s="23"/>
      <c r="AW96" s="23"/>
      <c r="AX96" s="23"/>
      <c r="AY96" s="23"/>
      <c r="AZ96" s="23"/>
      <c r="BA96" s="23"/>
      <c r="BB96" s="23"/>
      <c r="BC96" s="23"/>
      <c r="BD96" s="23"/>
      <c r="BE96" s="23"/>
      <c r="BF96" s="23"/>
      <c r="BG96" s="23"/>
      <c r="BH96" s="23"/>
      <c r="BI96" s="23"/>
      <c r="BJ96" s="23"/>
      <c r="BK96" s="23"/>
      <c r="BL96" s="23"/>
      <c r="BM96" s="24"/>
    </row>
    <row r="97" spans="1:65" ht="12.5" x14ac:dyDescent="0.25">
      <c r="A97" s="36">
        <v>6</v>
      </c>
      <c r="B97" s="35">
        <v>14051</v>
      </c>
      <c r="C97" s="41">
        <f t="shared" ref="C97:S97" si="72">IF(C43=0, "", C43/$B43)</f>
        <v>30.525158351718741</v>
      </c>
      <c r="D97" s="41">
        <f t="shared" si="72"/>
        <v>28.026546153298696</v>
      </c>
      <c r="E97" s="41">
        <f t="shared" si="72"/>
        <v>26.635399615685717</v>
      </c>
      <c r="F97" s="41">
        <f t="shared" si="72"/>
        <v>26.939790762223328</v>
      </c>
      <c r="G97" s="41">
        <f t="shared" si="72"/>
        <v>24.372357839299696</v>
      </c>
      <c r="H97" s="41">
        <f t="shared" si="72"/>
        <v>22.921998434275139</v>
      </c>
      <c r="I97" s="41">
        <f t="shared" si="72"/>
        <v>21.457689844139207</v>
      </c>
      <c r="J97" s="41">
        <f t="shared" si="72"/>
        <v>20.389794320688917</v>
      </c>
      <c r="K97" s="41">
        <f t="shared" si="72"/>
        <v>19.506583161340831</v>
      </c>
      <c r="L97" s="41">
        <f t="shared" si="72"/>
        <v>18.472706568927478</v>
      </c>
      <c r="M97" s="41">
        <f t="shared" si="72"/>
        <v>18.071169311792755</v>
      </c>
      <c r="N97" s="41">
        <f t="shared" si="72"/>
        <v>17.366948971603446</v>
      </c>
      <c r="O97" s="41">
        <f t="shared" si="72"/>
        <v>17.309230659739519</v>
      </c>
      <c r="P97" s="41">
        <f t="shared" si="72"/>
        <v>16.434559817806562</v>
      </c>
      <c r="Q97" s="41">
        <f t="shared" si="72"/>
        <v>15.674969753042488</v>
      </c>
      <c r="R97" s="41">
        <f t="shared" si="72"/>
        <v>15.254928474841648</v>
      </c>
      <c r="S97" s="41">
        <f t="shared" si="72"/>
        <v>15.042345740516689</v>
      </c>
      <c r="T97" s="41">
        <f t="shared" si="31"/>
        <v>14.383033236068608</v>
      </c>
      <c r="U97" s="41">
        <f t="shared" si="33"/>
        <v>13.908760942281688</v>
      </c>
      <c r="V97" s="41">
        <f t="shared" si="35"/>
        <v>13.235570422034019</v>
      </c>
      <c r="W97" s="41">
        <f t="shared" si="37"/>
        <v>12.968899010746567</v>
      </c>
      <c r="X97" s="41">
        <f t="shared" si="39"/>
        <v>12.594619600028468</v>
      </c>
      <c r="Y97" s="41">
        <f t="shared" si="41"/>
        <v>12.253718596541171</v>
      </c>
      <c r="Z97" s="41">
        <f t="shared" si="43"/>
        <v>12.200341612696604</v>
      </c>
      <c r="AA97" s="41">
        <f t="shared" si="45"/>
        <v>12.096149740232011</v>
      </c>
      <c r="AB97" s="41">
        <f t="shared" si="47"/>
        <v>11.778734609636325</v>
      </c>
      <c r="AC97" s="41">
        <f t="shared" si="49"/>
        <v>11.47142552131521</v>
      </c>
      <c r="AD97" s="41">
        <f t="shared" si="51"/>
        <v>11.323037506227315</v>
      </c>
      <c r="AE97" s="41">
        <f t="shared" ref="AE97:AT97" si="73">IF(AE43=0, "", AE43/$B43)</f>
        <v>10.781296704860864</v>
      </c>
      <c r="AF97" s="41">
        <f t="shared" si="73"/>
        <v>10.58899722439684</v>
      </c>
      <c r="AG97" s="41">
        <f t="shared" si="73"/>
        <v>10.379261262543592</v>
      </c>
      <c r="AH97" s="41">
        <f t="shared" si="73"/>
        <v>10.088178777311223</v>
      </c>
      <c r="AI97" s="41">
        <f t="shared" si="73"/>
        <v>9.6572485944060915</v>
      </c>
      <c r="AJ97" s="41">
        <f t="shared" si="73"/>
        <v>9.3122197708348153</v>
      </c>
      <c r="AK97" s="41">
        <f t="shared" si="73"/>
        <v>8.9585082912248239</v>
      </c>
      <c r="AL97" s="41">
        <f t="shared" si="73"/>
        <v>8.6834389011458253</v>
      </c>
      <c r="AM97" s="41">
        <f t="shared" si="73"/>
        <v>8.5833036794534205</v>
      </c>
      <c r="AN97" s="41">
        <f t="shared" si="73"/>
        <v>8.4581880293217573</v>
      </c>
      <c r="AO97" s="41">
        <f t="shared" si="73"/>
        <v>7.271866771048324</v>
      </c>
      <c r="AP97" s="41" t="str">
        <f t="shared" si="73"/>
        <v/>
      </c>
      <c r="AQ97" s="41" t="str">
        <f t="shared" si="73"/>
        <v/>
      </c>
      <c r="AR97" s="41" t="str">
        <f t="shared" si="73"/>
        <v/>
      </c>
      <c r="AS97" s="41" t="str">
        <f t="shared" si="73"/>
        <v/>
      </c>
      <c r="AT97" s="41" t="str">
        <f t="shared" si="73"/>
        <v/>
      </c>
      <c r="AU97" s="23"/>
      <c r="AV97" s="23"/>
      <c r="AW97" s="23"/>
      <c r="AX97" s="23"/>
      <c r="AY97" s="23"/>
      <c r="AZ97" s="23"/>
      <c r="BA97" s="23"/>
      <c r="BB97" s="23"/>
      <c r="BC97" s="23"/>
      <c r="BD97" s="23"/>
      <c r="BE97" s="23"/>
      <c r="BF97" s="23"/>
      <c r="BG97" s="23"/>
      <c r="BH97" s="23"/>
      <c r="BI97" s="23"/>
      <c r="BJ97" s="23"/>
      <c r="BK97" s="23"/>
      <c r="BL97" s="23"/>
      <c r="BM97" s="24"/>
    </row>
    <row r="98" spans="1:65" ht="12.5" x14ac:dyDescent="0.25">
      <c r="A98" s="36">
        <v>5</v>
      </c>
      <c r="B98" s="35">
        <v>17739</v>
      </c>
      <c r="C98" s="41">
        <f t="shared" ref="C98:S98" si="74">IF(C44=0, "", C44/$B44)</f>
        <v>31.191273465246066</v>
      </c>
      <c r="D98" s="41">
        <f t="shared" si="74"/>
        <v>28.352669259822989</v>
      </c>
      <c r="E98" s="41">
        <f t="shared" si="74"/>
        <v>26.621906533626472</v>
      </c>
      <c r="F98" s="41">
        <f t="shared" si="74"/>
        <v>25.420091324200914</v>
      </c>
      <c r="G98" s="41">
        <f t="shared" si="74"/>
        <v>25.583347426574214</v>
      </c>
      <c r="H98" s="41">
        <f t="shared" si="74"/>
        <v>23.231974744912339</v>
      </c>
      <c r="I98" s="41">
        <f t="shared" si="74"/>
        <v>22.195388691583517</v>
      </c>
      <c r="J98" s="41">
        <f t="shared" si="74"/>
        <v>20.70990472969164</v>
      </c>
      <c r="K98" s="41">
        <f t="shared" si="74"/>
        <v>19.764304639494899</v>
      </c>
      <c r="L98" s="41">
        <f t="shared" si="74"/>
        <v>18.787643046394948</v>
      </c>
      <c r="M98" s="41">
        <f t="shared" si="74"/>
        <v>17.953605051017533</v>
      </c>
      <c r="N98" s="41">
        <f t="shared" si="74"/>
        <v>17.640960595298495</v>
      </c>
      <c r="O98" s="41">
        <f t="shared" si="74"/>
        <v>16.889339872597102</v>
      </c>
      <c r="P98" s="41">
        <f t="shared" si="74"/>
        <v>16.778848864084786</v>
      </c>
      <c r="Q98" s="41">
        <f t="shared" si="74"/>
        <v>16.180280737358363</v>
      </c>
      <c r="R98" s="41">
        <f t="shared" si="74"/>
        <v>15.507807655448447</v>
      </c>
      <c r="S98" s="41">
        <f t="shared" si="74"/>
        <v>14.877276058402391</v>
      </c>
      <c r="T98" s="41">
        <f t="shared" si="31"/>
        <v>14.271097581599864</v>
      </c>
      <c r="U98" s="41">
        <f t="shared" si="33"/>
        <v>14.125937200518631</v>
      </c>
      <c r="V98" s="41">
        <f t="shared" si="35"/>
        <v>13.827611477535374</v>
      </c>
      <c r="W98" s="41">
        <f t="shared" si="37"/>
        <v>13.308021872709848</v>
      </c>
      <c r="X98" s="41">
        <f t="shared" si="39"/>
        <v>12.794013191273466</v>
      </c>
      <c r="Y98" s="41">
        <f t="shared" si="41"/>
        <v>12.346580979762106</v>
      </c>
      <c r="Z98" s="41">
        <f t="shared" si="43"/>
        <v>12.181746434410057</v>
      </c>
      <c r="AA98" s="41">
        <f t="shared" si="45"/>
        <v>11.817858954845256</v>
      </c>
      <c r="AB98" s="41">
        <f t="shared" si="47"/>
        <v>11.546028524719544</v>
      </c>
      <c r="AC98" s="41">
        <f t="shared" si="49"/>
        <v>11.468177462089182</v>
      </c>
      <c r="AD98" s="41">
        <f t="shared" si="51"/>
        <v>11.282315801341676</v>
      </c>
      <c r="AE98" s="41">
        <f t="shared" ref="AE98:AT98" si="75">IF(AE44=0, "", AE44/$B44)</f>
        <v>10.730311742488302</v>
      </c>
      <c r="AF98" s="41">
        <f t="shared" si="75"/>
        <v>10.419583967529173</v>
      </c>
      <c r="AG98" s="41">
        <f t="shared" si="75"/>
        <v>10.072382885168274</v>
      </c>
      <c r="AH98" s="41">
        <f t="shared" si="75"/>
        <v>9.9670218163368851</v>
      </c>
      <c r="AI98" s="41">
        <f t="shared" si="75"/>
        <v>9.7530864197530871</v>
      </c>
      <c r="AJ98" s="41">
        <f t="shared" si="75"/>
        <v>9.2502959580585156</v>
      </c>
      <c r="AK98" s="41">
        <f t="shared" si="75"/>
        <v>8.9279553526128872</v>
      </c>
      <c r="AL98" s="41">
        <f t="shared" si="75"/>
        <v>8.6188623935960305</v>
      </c>
      <c r="AM98" s="41">
        <f t="shared" si="75"/>
        <v>8.2397542138790243</v>
      </c>
      <c r="AN98" s="41">
        <f t="shared" si="75"/>
        <v>8.0506229212469691</v>
      </c>
      <c r="AO98" s="41">
        <f t="shared" si="75"/>
        <v>7.7973955690850669</v>
      </c>
      <c r="AP98" s="41">
        <f t="shared" si="75"/>
        <v>7.0906477253509221</v>
      </c>
      <c r="AQ98" s="41" t="str">
        <f t="shared" si="75"/>
        <v/>
      </c>
      <c r="AR98" s="41" t="str">
        <f t="shared" si="75"/>
        <v/>
      </c>
      <c r="AS98" s="41" t="str">
        <f t="shared" si="75"/>
        <v/>
      </c>
      <c r="AT98" s="41" t="str">
        <f t="shared" si="75"/>
        <v/>
      </c>
      <c r="AU98" s="23"/>
      <c r="AV98" s="23"/>
      <c r="AW98" s="23"/>
      <c r="AX98" s="23"/>
      <c r="AY98" s="23"/>
      <c r="AZ98" s="23"/>
      <c r="BA98" s="23"/>
      <c r="BB98" s="23"/>
      <c r="BC98" s="23"/>
      <c r="BD98" s="23"/>
      <c r="BE98" s="23"/>
      <c r="BF98" s="23"/>
      <c r="BG98" s="23"/>
      <c r="BH98" s="23"/>
      <c r="BI98" s="23"/>
      <c r="BJ98" s="23"/>
      <c r="BK98" s="23"/>
      <c r="BL98" s="23"/>
      <c r="BM98" s="24"/>
    </row>
    <row r="99" spans="1:65" ht="12.5" x14ac:dyDescent="0.25">
      <c r="A99" s="36">
        <v>4</v>
      </c>
      <c r="B99" s="35">
        <v>18451</v>
      </c>
      <c r="C99" s="41">
        <f t="shared" ref="C99:S99" si="76">IF(C45=0, "", C45/$B45)</f>
        <v>31.83572706086391</v>
      </c>
      <c r="D99" s="41">
        <f t="shared" si="76"/>
        <v>29.038913880006504</v>
      </c>
      <c r="E99" s="41">
        <f t="shared" si="76"/>
        <v>27.043954257221831</v>
      </c>
      <c r="F99" s="41">
        <f t="shared" si="76"/>
        <v>25.676711289361009</v>
      </c>
      <c r="G99" s="41">
        <f t="shared" si="76"/>
        <v>24.49943092515311</v>
      </c>
      <c r="H99" s="41">
        <f t="shared" si="76"/>
        <v>25.127906346539483</v>
      </c>
      <c r="I99" s="41">
        <f t="shared" si="76"/>
        <v>23.162809603815511</v>
      </c>
      <c r="J99" s="41">
        <f t="shared" si="76"/>
        <v>21.874153162430222</v>
      </c>
      <c r="K99" s="41">
        <f t="shared" si="76"/>
        <v>20.540946290173974</v>
      </c>
      <c r="L99" s="41">
        <f t="shared" si="76"/>
        <v>19.751449785919462</v>
      </c>
      <c r="M99" s="41">
        <f t="shared" si="76"/>
        <v>18.936372012357054</v>
      </c>
      <c r="N99" s="41">
        <f t="shared" si="76"/>
        <v>18.157227250555525</v>
      </c>
      <c r="O99" s="41">
        <f t="shared" si="76"/>
        <v>17.511842176575794</v>
      </c>
      <c r="P99" s="41">
        <f t="shared" si="76"/>
        <v>16.933228551298033</v>
      </c>
      <c r="Q99" s="41">
        <f t="shared" si="76"/>
        <v>16.682076852203132</v>
      </c>
      <c r="R99" s="41">
        <f t="shared" si="76"/>
        <v>15.993279497046231</v>
      </c>
      <c r="S99" s="41">
        <f t="shared" si="76"/>
        <v>15.336729716546529</v>
      </c>
      <c r="T99" s="41">
        <f t="shared" si="31"/>
        <v>14.735244702184163</v>
      </c>
      <c r="U99" s="41">
        <f t="shared" si="33"/>
        <v>14.336296135710802</v>
      </c>
      <c r="V99" s="41">
        <f t="shared" si="35"/>
        <v>14.22047585496721</v>
      </c>
      <c r="W99" s="41">
        <f t="shared" si="37"/>
        <v>13.86548154571568</v>
      </c>
      <c r="X99" s="41">
        <f t="shared" si="39"/>
        <v>13.17625060972305</v>
      </c>
      <c r="Y99" s="41">
        <f t="shared" si="41"/>
        <v>12.788575144978592</v>
      </c>
      <c r="Z99" s="41">
        <f t="shared" si="43"/>
        <v>12.364478890033061</v>
      </c>
      <c r="AA99" s="41">
        <f t="shared" si="45"/>
        <v>12.215164489729554</v>
      </c>
      <c r="AB99" s="41">
        <f t="shared" si="47"/>
        <v>11.732914205192131</v>
      </c>
      <c r="AC99" s="41">
        <f t="shared" si="49"/>
        <v>11.485935721641104</v>
      </c>
      <c r="AD99" s="41">
        <f t="shared" si="51"/>
        <v>11.240474771015121</v>
      </c>
      <c r="AE99" s="41">
        <f t="shared" ref="AE99:AT99" si="77">IF(AE45=0, "", AE45/$B45)</f>
        <v>11.083518508481925</v>
      </c>
      <c r="AF99" s="41">
        <f t="shared" si="77"/>
        <v>10.597745379654219</v>
      </c>
      <c r="AG99" s="41">
        <f t="shared" si="77"/>
        <v>10.245298357812585</v>
      </c>
      <c r="AH99" s="41">
        <f t="shared" si="77"/>
        <v>9.8860224378082489</v>
      </c>
      <c r="AI99" s="41">
        <f t="shared" si="77"/>
        <v>9.7556230014633361</v>
      </c>
      <c r="AJ99" s="41">
        <f t="shared" si="77"/>
        <v>9.3748306324860433</v>
      </c>
      <c r="AK99" s="41">
        <f t="shared" si="77"/>
        <v>9.1252506639206548</v>
      </c>
      <c r="AL99" s="41">
        <f t="shared" si="77"/>
        <v>8.8429353422578725</v>
      </c>
      <c r="AM99" s="41">
        <f t="shared" si="77"/>
        <v>8.4423608476505336</v>
      </c>
      <c r="AN99" s="41">
        <f t="shared" si="77"/>
        <v>8.2920708904666416</v>
      </c>
      <c r="AO99" s="41">
        <f t="shared" si="77"/>
        <v>7.9606525391577696</v>
      </c>
      <c r="AP99" s="41">
        <f t="shared" si="77"/>
        <v>7.665167199609777</v>
      </c>
      <c r="AQ99" s="41">
        <f t="shared" si="77"/>
        <v>6.6399111159286761</v>
      </c>
      <c r="AR99" s="41" t="str">
        <f t="shared" si="77"/>
        <v/>
      </c>
      <c r="AS99" s="41" t="str">
        <f t="shared" si="77"/>
        <v/>
      </c>
      <c r="AT99" s="41" t="str">
        <f t="shared" si="77"/>
        <v/>
      </c>
      <c r="AU99" s="23"/>
      <c r="AV99" s="23"/>
      <c r="AW99" s="23"/>
      <c r="AX99" s="23"/>
      <c r="AY99" s="23"/>
      <c r="AZ99" s="23"/>
      <c r="BA99" s="23"/>
      <c r="BB99" s="23"/>
      <c r="BC99" s="23"/>
      <c r="BD99" s="23"/>
      <c r="BE99" s="23"/>
      <c r="BF99" s="23"/>
      <c r="BG99" s="23"/>
      <c r="BH99" s="23"/>
      <c r="BI99" s="23"/>
      <c r="BJ99" s="23"/>
      <c r="BK99" s="23"/>
      <c r="BL99" s="23"/>
      <c r="BM99" s="24"/>
    </row>
    <row r="100" spans="1:65" ht="12.5" x14ac:dyDescent="0.25">
      <c r="A100" s="36">
        <v>3</v>
      </c>
      <c r="B100" s="35">
        <v>17045</v>
      </c>
      <c r="C100" s="41">
        <f t="shared" ref="C100:S100" si="78">IF(C46=0, "", C46/$B46)</f>
        <v>31.565796421237899</v>
      </c>
      <c r="D100" s="41">
        <f t="shared" si="78"/>
        <v>28.987679671457904</v>
      </c>
      <c r="E100" s="41">
        <f t="shared" si="78"/>
        <v>27.108653564095043</v>
      </c>
      <c r="F100" s="41">
        <f t="shared" si="78"/>
        <v>25.491463772367265</v>
      </c>
      <c r="G100" s="41">
        <f t="shared" si="78"/>
        <v>24.35359342915811</v>
      </c>
      <c r="H100" s="41">
        <f t="shared" si="78"/>
        <v>23.718568495159872</v>
      </c>
      <c r="I100" s="41">
        <f t="shared" si="78"/>
        <v>24.251628043414492</v>
      </c>
      <c r="J100" s="41">
        <f t="shared" si="78"/>
        <v>22.088941038427691</v>
      </c>
      <c r="K100" s="41">
        <f t="shared" si="78"/>
        <v>21.230742153124083</v>
      </c>
      <c r="L100" s="41">
        <f t="shared" si="78"/>
        <v>19.736227632736874</v>
      </c>
      <c r="M100" s="41">
        <f t="shared" si="78"/>
        <v>19.22528600762687</v>
      </c>
      <c r="N100" s="41">
        <f t="shared" si="78"/>
        <v>18.282780874156643</v>
      </c>
      <c r="O100" s="41">
        <f t="shared" si="78"/>
        <v>17.530126136696978</v>
      </c>
      <c r="P100" s="41">
        <f t="shared" si="78"/>
        <v>16.950894690525082</v>
      </c>
      <c r="Q100" s="41">
        <f t="shared" si="78"/>
        <v>16.511352302728074</v>
      </c>
      <c r="R100" s="41">
        <f t="shared" si="78"/>
        <v>16.204106776180698</v>
      </c>
      <c r="S100" s="41">
        <f t="shared" si="78"/>
        <v>15.533880903490759</v>
      </c>
      <c r="T100" s="41">
        <f t="shared" si="31"/>
        <v>14.777471399237314</v>
      </c>
      <c r="U100" s="41">
        <f t="shared" si="33"/>
        <v>14.401994719859196</v>
      </c>
      <c r="V100" s="41">
        <f t="shared" si="35"/>
        <v>14.289234379583455</v>
      </c>
      <c r="W100" s="41">
        <f t="shared" si="37"/>
        <v>13.865649750660017</v>
      </c>
      <c r="X100" s="41">
        <f t="shared" si="39"/>
        <v>13.375652684071575</v>
      </c>
      <c r="Y100" s="41">
        <f t="shared" si="41"/>
        <v>12.970020533880904</v>
      </c>
      <c r="Z100" s="41">
        <f t="shared" si="43"/>
        <v>12.320856556174832</v>
      </c>
      <c r="AA100" s="41">
        <f t="shared" si="45"/>
        <v>11.923437958345556</v>
      </c>
      <c r="AB100" s="41">
        <f t="shared" si="47"/>
        <v>11.838897037254327</v>
      </c>
      <c r="AC100" s="41">
        <f t="shared" si="49"/>
        <v>11.645761220299208</v>
      </c>
      <c r="AD100" s="41">
        <f t="shared" si="51"/>
        <v>11.465180404810795</v>
      </c>
      <c r="AE100" s="41">
        <f t="shared" ref="AE100:AT100" si="79">IF(AE46=0, "", AE46/$B46)</f>
        <v>11.187092989146377</v>
      </c>
      <c r="AF100" s="41">
        <f t="shared" si="79"/>
        <v>10.995306541507773</v>
      </c>
      <c r="AG100" s="41">
        <f t="shared" si="79"/>
        <v>10.482663537694339</v>
      </c>
      <c r="AH100" s="41">
        <f t="shared" si="79"/>
        <v>10.095629216779114</v>
      </c>
      <c r="AI100" s="41">
        <f t="shared" si="79"/>
        <v>9.7262540334408918</v>
      </c>
      <c r="AJ100" s="41">
        <f t="shared" si="79"/>
        <v>9.5050161337635668</v>
      </c>
      <c r="AK100" s="41">
        <f t="shared" si="79"/>
        <v>9.2105016133763566</v>
      </c>
      <c r="AL100" s="41">
        <f t="shared" si="79"/>
        <v>9.0088002346729255</v>
      </c>
      <c r="AM100" s="41">
        <f t="shared" si="79"/>
        <v>8.8427104722792613</v>
      </c>
      <c r="AN100" s="41">
        <f t="shared" si="79"/>
        <v>8.4012907010853617</v>
      </c>
      <c r="AO100" s="41">
        <f t="shared" si="79"/>
        <v>8.0811381636843649</v>
      </c>
      <c r="AP100" s="41">
        <f t="shared" si="79"/>
        <v>7.7317101789381049</v>
      </c>
      <c r="AQ100" s="41">
        <f t="shared" si="79"/>
        <v>7.4908184218245824</v>
      </c>
      <c r="AR100" s="41">
        <f t="shared" si="79"/>
        <v>6.5946025227339398</v>
      </c>
      <c r="AS100" s="41" t="str">
        <f t="shared" si="79"/>
        <v/>
      </c>
      <c r="AT100" s="41" t="str">
        <f t="shared" si="79"/>
        <v/>
      </c>
      <c r="AU100" s="23"/>
      <c r="AV100" s="23"/>
      <c r="AW100" s="23"/>
      <c r="AX100" s="23"/>
      <c r="AY100" s="23"/>
      <c r="AZ100" s="23"/>
      <c r="BA100" s="23"/>
      <c r="BB100" s="23"/>
      <c r="BC100" s="23"/>
      <c r="BD100" s="23"/>
      <c r="BE100" s="23"/>
      <c r="BF100" s="23"/>
      <c r="BG100" s="23"/>
      <c r="BH100" s="23"/>
      <c r="BI100" s="23"/>
      <c r="BJ100" s="23"/>
      <c r="BK100" s="23"/>
      <c r="BL100" s="23"/>
      <c r="BM100" s="24"/>
    </row>
    <row r="101" spans="1:65" ht="12.5" x14ac:dyDescent="0.25">
      <c r="A101" s="36">
        <v>2</v>
      </c>
      <c r="B101" s="35">
        <v>15828</v>
      </c>
      <c r="C101" s="41">
        <f t="shared" ref="C101:S101" si="80">IF(C47=0, "", C47/$B47)</f>
        <v>31.337124083901944</v>
      </c>
      <c r="D101" s="41">
        <f t="shared" si="80"/>
        <v>28.397081122062168</v>
      </c>
      <c r="E101" s="41">
        <f t="shared" si="80"/>
        <v>26.706974981046248</v>
      </c>
      <c r="F101" s="41">
        <f t="shared" si="80"/>
        <v>25.161801870103613</v>
      </c>
      <c r="G101" s="41">
        <f t="shared" si="80"/>
        <v>23.690358857720497</v>
      </c>
      <c r="H101" s="41">
        <f t="shared" si="80"/>
        <v>22.679618397776093</v>
      </c>
      <c r="I101" s="41">
        <f t="shared" si="80"/>
        <v>21.96790497851908</v>
      </c>
      <c r="J101" s="41">
        <f t="shared" si="80"/>
        <v>22.511056355825119</v>
      </c>
      <c r="K101" s="41">
        <f t="shared" si="80"/>
        <v>20.80458680818802</v>
      </c>
      <c r="L101" s="41">
        <f t="shared" si="80"/>
        <v>19.973907000252716</v>
      </c>
      <c r="M101" s="41">
        <f t="shared" si="80"/>
        <v>18.580932524639877</v>
      </c>
      <c r="N101" s="41">
        <f t="shared" si="80"/>
        <v>17.968979024513519</v>
      </c>
      <c r="O101" s="41">
        <f t="shared" si="80"/>
        <v>17.194339145817537</v>
      </c>
      <c r="P101" s="41">
        <f t="shared" si="80"/>
        <v>16.540371493555725</v>
      </c>
      <c r="Q101" s="41">
        <f t="shared" si="80"/>
        <v>16.318233510235025</v>
      </c>
      <c r="R101" s="41">
        <f t="shared" si="80"/>
        <v>15.744945665908517</v>
      </c>
      <c r="S101" s="41">
        <f t="shared" si="80"/>
        <v>15.477318675764469</v>
      </c>
      <c r="T101" s="41">
        <f t="shared" si="31"/>
        <v>14.998673237300986</v>
      </c>
      <c r="U101" s="41">
        <f t="shared" si="33"/>
        <v>14.277798837503159</v>
      </c>
      <c r="V101" s="41">
        <f t="shared" si="35"/>
        <v>14.051806924437706</v>
      </c>
      <c r="W101" s="41">
        <f t="shared" si="37"/>
        <v>13.754864796563053</v>
      </c>
      <c r="X101" s="41">
        <f t="shared" si="39"/>
        <v>13.630591357088704</v>
      </c>
      <c r="Y101" s="41">
        <f t="shared" si="41"/>
        <v>13.247851908011119</v>
      </c>
      <c r="Z101" s="41">
        <f t="shared" si="43"/>
        <v>12.586681829668942</v>
      </c>
      <c r="AA101" s="41">
        <f t="shared" si="45"/>
        <v>12.078342178417994</v>
      </c>
      <c r="AB101" s="41">
        <f t="shared" si="47"/>
        <v>11.85753095779631</v>
      </c>
      <c r="AC101" s="41">
        <f t="shared" si="49"/>
        <v>11.847232752084913</v>
      </c>
      <c r="AD101" s="41">
        <f t="shared" si="51"/>
        <v>11.648597422289614</v>
      </c>
      <c r="AE101" s="41">
        <f t="shared" ref="AE101:AT101" si="81">IF(AE47=0, "", AE47/$B47)</f>
        <v>11.301933282789992</v>
      </c>
      <c r="AF101" s="41">
        <f t="shared" si="81"/>
        <v>11.031715946424059</v>
      </c>
      <c r="AG101" s="41">
        <f t="shared" si="81"/>
        <v>10.672605509224161</v>
      </c>
      <c r="AH101" s="41">
        <f t="shared" si="81"/>
        <v>10.406621177659844</v>
      </c>
      <c r="AI101" s="41">
        <f t="shared" si="81"/>
        <v>10.156305281779126</v>
      </c>
      <c r="AJ101" s="41">
        <f t="shared" si="81"/>
        <v>9.7525271670457414</v>
      </c>
      <c r="AK101" s="41">
        <f t="shared" si="81"/>
        <v>9.5947055850391703</v>
      </c>
      <c r="AL101" s="41">
        <f t="shared" si="81"/>
        <v>9.4432650998230976</v>
      </c>
      <c r="AM101" s="41">
        <f t="shared" si="81"/>
        <v>9.1132802628253735</v>
      </c>
      <c r="AN101" s="41">
        <f t="shared" si="81"/>
        <v>8.8452110184483193</v>
      </c>
      <c r="AO101" s="41">
        <f t="shared" si="81"/>
        <v>8.4752337629517314</v>
      </c>
      <c r="AP101" s="41">
        <f t="shared" si="81"/>
        <v>8.3288476118271415</v>
      </c>
      <c r="AQ101" s="41">
        <f t="shared" si="81"/>
        <v>7.9309451604751073</v>
      </c>
      <c r="AR101" s="41">
        <f t="shared" si="81"/>
        <v>7.7364796563052813</v>
      </c>
      <c r="AS101" s="41">
        <f t="shared" si="81"/>
        <v>6.8538665655799846</v>
      </c>
      <c r="AT101" s="41" t="str">
        <f t="shared" si="81"/>
        <v/>
      </c>
      <c r="AU101" s="23"/>
      <c r="AV101" s="23"/>
      <c r="AW101" s="23"/>
      <c r="AX101" s="23"/>
      <c r="AY101" s="23"/>
      <c r="AZ101" s="23"/>
      <c r="BA101" s="23"/>
      <c r="BB101" s="23"/>
      <c r="BC101" s="23"/>
      <c r="BD101" s="23"/>
      <c r="BE101" s="23"/>
      <c r="BF101" s="23"/>
      <c r="BG101" s="23"/>
      <c r="BH101" s="23"/>
      <c r="BI101" s="23"/>
      <c r="BJ101" s="23"/>
      <c r="BK101" s="23"/>
      <c r="BL101" s="23"/>
      <c r="BM101" s="24"/>
    </row>
    <row r="102" spans="1:65" ht="12.5" x14ac:dyDescent="0.25">
      <c r="A102" s="36">
        <v>1</v>
      </c>
      <c r="B102" s="35">
        <v>18371</v>
      </c>
      <c r="C102" s="41">
        <f t="shared" ref="C102:S102" si="82">IF(C48=0, "", C48/$B48)</f>
        <v>32.518752381470797</v>
      </c>
      <c r="D102" s="41">
        <f t="shared" si="82"/>
        <v>30.300909041423985</v>
      </c>
      <c r="E102" s="41">
        <f t="shared" si="82"/>
        <v>28.149420281966144</v>
      </c>
      <c r="F102" s="41">
        <f t="shared" si="82"/>
        <v>26.740950410973817</v>
      </c>
      <c r="G102" s="41">
        <f t="shared" si="82"/>
        <v>25.318654400958032</v>
      </c>
      <c r="H102" s="41">
        <f t="shared" si="82"/>
        <v>24.193457079092049</v>
      </c>
      <c r="I102" s="41">
        <f t="shared" si="82"/>
        <v>23.232975885907138</v>
      </c>
      <c r="J102" s="41">
        <f t="shared" si="82"/>
        <v>22.546948995699744</v>
      </c>
      <c r="K102" s="41">
        <f t="shared" si="82"/>
        <v>23.153121768003921</v>
      </c>
      <c r="L102" s="41">
        <f t="shared" si="82"/>
        <v>21.325349735996951</v>
      </c>
      <c r="M102" s="41">
        <f t="shared" si="82"/>
        <v>20.494910456698058</v>
      </c>
      <c r="N102" s="41">
        <f t="shared" si="82"/>
        <v>19.157803059169343</v>
      </c>
      <c r="O102" s="41">
        <f t="shared" si="82"/>
        <v>18.62321049480159</v>
      </c>
      <c r="P102" s="41">
        <f t="shared" si="82"/>
        <v>17.930052800609655</v>
      </c>
      <c r="Q102" s="41">
        <f t="shared" si="82"/>
        <v>17.143378150345654</v>
      </c>
      <c r="R102" s="41">
        <f t="shared" si="82"/>
        <v>16.537477546132493</v>
      </c>
      <c r="S102" s="41">
        <f t="shared" si="82"/>
        <v>16.176092754885417</v>
      </c>
      <c r="T102" s="41">
        <f t="shared" si="31"/>
        <v>15.938163409721843</v>
      </c>
      <c r="U102" s="41">
        <f t="shared" si="33"/>
        <v>15.453268738773065</v>
      </c>
      <c r="V102" s="41">
        <f t="shared" si="35"/>
        <v>14.93745577268521</v>
      </c>
      <c r="W102" s="41">
        <f t="shared" si="37"/>
        <v>14.613303576288716</v>
      </c>
      <c r="X102" s="41">
        <f t="shared" si="39"/>
        <v>14.06989276577214</v>
      </c>
      <c r="Y102" s="41">
        <f t="shared" si="41"/>
        <v>13.737303358554243</v>
      </c>
      <c r="Z102" s="41">
        <f t="shared" si="43"/>
        <v>13.297860758804637</v>
      </c>
      <c r="AA102" s="41">
        <f t="shared" si="45"/>
        <v>12.451363562135976</v>
      </c>
      <c r="AB102" s="41">
        <f t="shared" si="47"/>
        <v>12.208589624952371</v>
      </c>
      <c r="AC102" s="41">
        <f t="shared" si="49"/>
        <v>11.715475477655</v>
      </c>
      <c r="AD102" s="41">
        <f t="shared" si="51"/>
        <v>11.588372979151924</v>
      </c>
      <c r="AE102" s="41">
        <f t="shared" ref="AE102:AT102" si="83">IF(AE48=0, "", AE48/$B48)</f>
        <v>11.303739589570519</v>
      </c>
      <c r="AF102" s="41">
        <f t="shared" si="83"/>
        <v>10.876816722007511</v>
      </c>
      <c r="AG102" s="41">
        <f t="shared" si="83"/>
        <v>10.639867181971585</v>
      </c>
      <c r="AH102" s="41">
        <f t="shared" si="83"/>
        <v>10.349028359915083</v>
      </c>
      <c r="AI102" s="41">
        <f t="shared" si="83"/>
        <v>9.9581949812204016</v>
      </c>
      <c r="AJ102" s="41">
        <f t="shared" si="83"/>
        <v>9.5591965597953301</v>
      </c>
      <c r="AK102" s="41">
        <f t="shared" si="83"/>
        <v>9.2814762397256541</v>
      </c>
      <c r="AL102" s="41">
        <f t="shared" si="83"/>
        <v>9.2493604049861187</v>
      </c>
      <c r="AM102" s="41">
        <f t="shared" si="83"/>
        <v>9.1568776876598985</v>
      </c>
      <c r="AN102" s="41">
        <f t="shared" si="83"/>
        <v>8.8576016547819929</v>
      </c>
      <c r="AO102" s="41">
        <f t="shared" si="83"/>
        <v>8.3010723422785908</v>
      </c>
      <c r="AP102" s="41">
        <f t="shared" si="83"/>
        <v>7.95041097381743</v>
      </c>
      <c r="AQ102" s="41">
        <f t="shared" si="83"/>
        <v>7.7384464645364979</v>
      </c>
      <c r="AR102" s="41">
        <f t="shared" si="83"/>
        <v>7.5002993849001145</v>
      </c>
      <c r="AS102" s="41">
        <f t="shared" si="83"/>
        <v>7.4130422949213433</v>
      </c>
      <c r="AT102" s="41">
        <f t="shared" si="83"/>
        <v>6.5079200914484785</v>
      </c>
      <c r="AU102" s="23"/>
      <c r="AV102" s="23"/>
      <c r="AW102" s="23"/>
      <c r="AX102" s="23"/>
      <c r="AY102" s="23"/>
      <c r="AZ102" s="23"/>
      <c r="BA102" s="23"/>
      <c r="BB102" s="23"/>
      <c r="BC102" s="23"/>
      <c r="BD102" s="23"/>
      <c r="BE102" s="23"/>
      <c r="BF102" s="23"/>
      <c r="BG102" s="23"/>
      <c r="BH102" s="23"/>
      <c r="BI102" s="23"/>
      <c r="BJ102" s="23"/>
      <c r="BK102" s="23"/>
      <c r="BL102" s="23"/>
      <c r="BM102" s="24"/>
    </row>
    <row r="103" spans="1:65" ht="12.5" x14ac:dyDescent="0.25">
      <c r="A103" s="28"/>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4"/>
    </row>
    <row r="104" spans="1:65" ht="12.5" x14ac:dyDescent="0.25">
      <c r="A104" s="28"/>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4"/>
    </row>
    <row r="105" spans="1:65" ht="12.5" x14ac:dyDescent="0.25">
      <c r="A105" s="28"/>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4"/>
    </row>
    <row r="106" spans="1:65" ht="23" x14ac:dyDescent="0.5">
      <c r="A106" s="39" t="s">
        <v>11</v>
      </c>
      <c r="B106" s="35"/>
      <c r="C106" s="40"/>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4"/>
    </row>
    <row r="107" spans="1:65" ht="12.5" x14ac:dyDescent="0.25">
      <c r="A107" s="96"/>
      <c r="B107" s="97" t="s">
        <v>4</v>
      </c>
      <c r="C107" s="98">
        <v>1</v>
      </c>
      <c r="D107" s="98">
        <v>2</v>
      </c>
      <c r="E107" s="98">
        <v>3</v>
      </c>
      <c r="F107" s="98">
        <v>4</v>
      </c>
      <c r="G107" s="98">
        <v>5</v>
      </c>
      <c r="H107" s="98">
        <v>6</v>
      </c>
      <c r="I107" s="98">
        <v>7</v>
      </c>
      <c r="J107" s="98">
        <v>8</v>
      </c>
      <c r="K107" s="98">
        <v>9</v>
      </c>
      <c r="L107" s="98">
        <v>10</v>
      </c>
      <c r="M107" s="98">
        <v>11</v>
      </c>
      <c r="N107" s="98">
        <v>12</v>
      </c>
      <c r="O107" s="98">
        <v>13</v>
      </c>
      <c r="P107" s="98">
        <v>14</v>
      </c>
      <c r="Q107" s="98">
        <v>15</v>
      </c>
      <c r="R107" s="98">
        <v>16</v>
      </c>
      <c r="S107" s="98">
        <v>17</v>
      </c>
      <c r="T107" s="98">
        <v>18</v>
      </c>
      <c r="U107" s="98">
        <v>19</v>
      </c>
      <c r="V107" s="98">
        <v>20</v>
      </c>
      <c r="W107" s="98">
        <v>21</v>
      </c>
      <c r="X107" s="98">
        <v>22</v>
      </c>
      <c r="Y107" s="98">
        <v>23</v>
      </c>
      <c r="Z107" s="98">
        <v>24</v>
      </c>
      <c r="AA107" s="98">
        <v>25</v>
      </c>
      <c r="AB107" s="98">
        <v>26</v>
      </c>
      <c r="AC107" s="98">
        <v>27</v>
      </c>
      <c r="AD107" s="98">
        <v>28</v>
      </c>
      <c r="AE107" s="98">
        <v>29</v>
      </c>
      <c r="AF107" s="98">
        <v>30</v>
      </c>
      <c r="AG107" s="98">
        <v>31</v>
      </c>
      <c r="AH107" s="98">
        <v>32</v>
      </c>
      <c r="AI107" s="98">
        <v>33</v>
      </c>
      <c r="AJ107" s="98">
        <v>34</v>
      </c>
      <c r="AK107" s="98">
        <v>35</v>
      </c>
      <c r="AL107" s="98">
        <v>36</v>
      </c>
      <c r="AM107" s="98">
        <v>37</v>
      </c>
      <c r="AN107" s="98">
        <v>38</v>
      </c>
      <c r="AO107" s="98">
        <v>39</v>
      </c>
      <c r="AP107" s="98">
        <v>40</v>
      </c>
      <c r="AQ107" s="98">
        <v>41</v>
      </c>
      <c r="AR107" s="98">
        <v>42</v>
      </c>
      <c r="AS107" s="98">
        <v>43</v>
      </c>
      <c r="AT107" s="98">
        <v>44</v>
      </c>
      <c r="AU107" s="99">
        <v>45</v>
      </c>
      <c r="AV107" s="99">
        <v>46</v>
      </c>
      <c r="AW107" s="99">
        <v>47</v>
      </c>
      <c r="AX107" s="99">
        <v>48</v>
      </c>
      <c r="AY107" s="99">
        <v>49</v>
      </c>
      <c r="AZ107" s="99">
        <v>50</v>
      </c>
      <c r="BA107" s="99">
        <v>51</v>
      </c>
      <c r="BB107" s="99">
        <v>52</v>
      </c>
      <c r="BC107" s="75"/>
      <c r="BD107" s="75"/>
      <c r="BE107" s="76"/>
      <c r="BF107" s="23"/>
      <c r="BG107" s="23"/>
      <c r="BH107" s="23"/>
      <c r="BI107" s="23"/>
      <c r="BJ107" s="23"/>
      <c r="BK107" s="23"/>
      <c r="BL107" s="23"/>
      <c r="BM107" s="24"/>
    </row>
    <row r="108" spans="1:65" ht="12.5" x14ac:dyDescent="0.25">
      <c r="A108" s="77"/>
      <c r="B108" s="35"/>
      <c r="C108" s="23" t="s">
        <v>8</v>
      </c>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78"/>
      <c r="BF108" s="23"/>
      <c r="BG108" s="23"/>
      <c r="BH108" s="23"/>
      <c r="BI108" s="23"/>
      <c r="BJ108" s="23"/>
      <c r="BK108" s="23"/>
      <c r="BL108" s="23"/>
      <c r="BM108" s="24"/>
    </row>
    <row r="109" spans="1:65" ht="12.5" x14ac:dyDescent="0.25">
      <c r="A109" s="79"/>
      <c r="B109" s="35"/>
      <c r="C109" s="37"/>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95" t="s">
        <v>47</v>
      </c>
      <c r="BF109" s="23"/>
      <c r="BG109" s="23"/>
      <c r="BH109" s="23"/>
      <c r="BI109" s="23"/>
      <c r="BJ109" s="23"/>
      <c r="BK109" s="23"/>
      <c r="BL109" s="23"/>
      <c r="BM109" s="24"/>
    </row>
    <row r="110" spans="1:65" ht="12.5" x14ac:dyDescent="0.25">
      <c r="A110" s="80" t="s">
        <v>16</v>
      </c>
      <c r="B110" s="81"/>
      <c r="C110" s="82">
        <f>AVERAGE(C59:C102)</f>
        <v>49.075123238301643</v>
      </c>
      <c r="D110" s="82">
        <f t="shared" ref="D110:AT110" si="84">AVERAGE(D59:D102)</f>
        <v>44.231807047484949</v>
      </c>
      <c r="E110" s="82">
        <f t="shared" si="84"/>
        <v>41.816165809686801</v>
      </c>
      <c r="F110" s="82">
        <f t="shared" si="84"/>
        <v>40.418221588162154</v>
      </c>
      <c r="G110" s="82">
        <f t="shared" si="84"/>
        <v>37.677042346703118</v>
      </c>
      <c r="H110" s="82">
        <f t="shared" si="84"/>
        <v>35.776772707207307</v>
      </c>
      <c r="I110" s="82">
        <f t="shared" si="84"/>
        <v>34.130063051585786</v>
      </c>
      <c r="J110" s="82">
        <f t="shared" si="84"/>
        <v>32.575132899137614</v>
      </c>
      <c r="K110" s="82">
        <f t="shared" si="84"/>
        <v>31.344795646605171</v>
      </c>
      <c r="L110" s="82">
        <f t="shared" si="84"/>
        <v>30.051890676609094</v>
      </c>
      <c r="M110" s="82">
        <f t="shared" si="84"/>
        <v>28.842034900473966</v>
      </c>
      <c r="N110" s="82">
        <f t="shared" si="84"/>
        <v>27.560965039601403</v>
      </c>
      <c r="O110" s="82">
        <f t="shared" si="84"/>
        <v>26.44788660278768</v>
      </c>
      <c r="P110" s="82">
        <f t="shared" si="84"/>
        <v>25.288532248500161</v>
      </c>
      <c r="Q110" s="82">
        <f t="shared" si="84"/>
        <v>23.803325760246018</v>
      </c>
      <c r="R110" s="82">
        <f>AVERAGE(R59:R102)</f>
        <v>22.43199471678324</v>
      </c>
      <c r="S110" s="82">
        <f t="shared" si="84"/>
        <v>21.083996747505701</v>
      </c>
      <c r="T110" s="82">
        <f t="shared" si="84"/>
        <v>19.664914589049665</v>
      </c>
      <c r="U110" s="82">
        <f t="shared" si="84"/>
        <v>18.355931092800009</v>
      </c>
      <c r="V110" s="82">
        <f t="shared" si="84"/>
        <v>17.190759279029066</v>
      </c>
      <c r="W110" s="82">
        <f t="shared" si="84"/>
        <v>15.860091539360992</v>
      </c>
      <c r="X110" s="82">
        <f t="shared" si="84"/>
        <v>14.620076437731477</v>
      </c>
      <c r="Y110" s="82">
        <f t="shared" si="84"/>
        <v>14.151125208124364</v>
      </c>
      <c r="Z110" s="82">
        <f t="shared" si="84"/>
        <v>13.656060708630045</v>
      </c>
      <c r="AA110" s="82">
        <f t="shared" si="84"/>
        <v>13.143948215071429</v>
      </c>
      <c r="AB110" s="82">
        <f t="shared" si="84"/>
        <v>12.64790071215846</v>
      </c>
      <c r="AC110" s="82">
        <f t="shared" si="84"/>
        <v>12.254309322157148</v>
      </c>
      <c r="AD110" s="82">
        <f t="shared" si="84"/>
        <v>11.953973739679613</v>
      </c>
      <c r="AE110" s="82">
        <f t="shared" si="84"/>
        <v>11.594485701736392</v>
      </c>
      <c r="AF110" s="82">
        <f t="shared" si="84"/>
        <v>11.334403370139819</v>
      </c>
      <c r="AG110" s="82">
        <f t="shared" si="84"/>
        <v>10.504619843284956</v>
      </c>
      <c r="AH110" s="82">
        <f t="shared" si="84"/>
        <v>9.9629633750589264</v>
      </c>
      <c r="AI110" s="82">
        <f t="shared" si="84"/>
        <v>9.5021537532582698</v>
      </c>
      <c r="AJ110" s="82">
        <f t="shared" si="84"/>
        <v>9.0596932571715261</v>
      </c>
      <c r="AK110" s="82">
        <f t="shared" si="84"/>
        <v>8.7151720396235071</v>
      </c>
      <c r="AL110" s="82">
        <f t="shared" si="84"/>
        <v>8.6283580809947598</v>
      </c>
      <c r="AM110" s="82">
        <f t="shared" si="84"/>
        <v>8.4793752971987644</v>
      </c>
      <c r="AN110" s="82">
        <f t="shared" si="84"/>
        <v>8.2897705616914976</v>
      </c>
      <c r="AO110" s="82">
        <f t="shared" si="84"/>
        <v>7.9812265247009746</v>
      </c>
      <c r="AP110" s="82">
        <f t="shared" si="84"/>
        <v>7.7533567379086747</v>
      </c>
      <c r="AQ110" s="82">
        <f>AVERAGE(AQ59:AQ102)</f>
        <v>7.4500302906912159</v>
      </c>
      <c r="AR110" s="82">
        <f t="shared" si="84"/>
        <v>7.2771271879797785</v>
      </c>
      <c r="AS110" s="82">
        <f t="shared" si="84"/>
        <v>7.1334544302506639</v>
      </c>
      <c r="AT110" s="82">
        <f t="shared" si="84"/>
        <v>6.5079200914484785</v>
      </c>
      <c r="AU110" s="100">
        <f t="shared" ref="AU110:BB110" si="85">AT110*$BE110</f>
        <v>6.289185979052629</v>
      </c>
      <c r="AV110" s="100">
        <f t="shared" si="85"/>
        <v>6.0778036182538022</v>
      </c>
      <c r="AW110" s="100">
        <f t="shared" si="85"/>
        <v>5.8735259133843289</v>
      </c>
      <c r="AX110" s="100">
        <f t="shared" si="85"/>
        <v>5.6761140737727285</v>
      </c>
      <c r="AY110" s="100">
        <f t="shared" si="85"/>
        <v>5.4853373346090599</v>
      </c>
      <c r="AZ110" s="100">
        <f t="shared" si="85"/>
        <v>5.300972687192119</v>
      </c>
      <c r="BA110" s="100">
        <f t="shared" si="85"/>
        <v>5.1228046182431441</v>
      </c>
      <c r="BB110" s="100">
        <f t="shared" si="85"/>
        <v>4.9506248579813104</v>
      </c>
      <c r="BC110" s="81"/>
      <c r="BD110" s="81"/>
      <c r="BE110" s="57">
        <f>AVERAGE(AT110/AS110, AS110/AR110, AR110/AQ110, AQ110/AP110,AP110/AO110,AO110/AN110,AN110/AM110,AM110/AL110,AL110/AK110,AK110/AJ110,AJ110/AI110)</f>
        <v>0.96638955160447193</v>
      </c>
      <c r="BF110" s="23"/>
      <c r="BG110" s="23"/>
      <c r="BH110" s="23"/>
      <c r="BI110" s="23"/>
      <c r="BJ110" s="23"/>
      <c r="BK110" s="23"/>
      <c r="BL110" s="23"/>
      <c r="BM110" s="24"/>
    </row>
    <row r="111" spans="1:65" ht="12.5" x14ac:dyDescent="0.25">
      <c r="A111" s="28"/>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94" t="s">
        <v>43</v>
      </c>
      <c r="BF111" s="23"/>
      <c r="BG111" s="23"/>
      <c r="BH111" s="23"/>
      <c r="BI111" s="23"/>
      <c r="BJ111" s="23"/>
      <c r="BK111" s="23"/>
      <c r="BL111" s="23"/>
      <c r="BM111" s="24"/>
    </row>
    <row r="112" spans="1:65" ht="12.5" x14ac:dyDescent="0.25">
      <c r="A112" s="28"/>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4"/>
    </row>
    <row r="113" spans="1:65" ht="12.5" x14ac:dyDescent="0.25">
      <c r="A113" s="119" t="s">
        <v>12</v>
      </c>
      <c r="B113" s="120"/>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4"/>
    </row>
    <row r="114" spans="1:65" ht="12.5" x14ac:dyDescent="0.25">
      <c r="A114" s="115" t="s">
        <v>13</v>
      </c>
      <c r="B114" s="116"/>
      <c r="C114" s="101">
        <f>SUM(C110:O110)</f>
        <v>459.94790155434663</v>
      </c>
      <c r="D114" s="102" t="s">
        <v>25</v>
      </c>
      <c r="E114" s="75"/>
      <c r="F114" s="75"/>
      <c r="G114" s="75"/>
      <c r="H114" s="75"/>
      <c r="I114" s="76"/>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4"/>
    </row>
    <row r="115" spans="1:65" ht="12.5" x14ac:dyDescent="0.25">
      <c r="A115" s="115" t="s">
        <v>14</v>
      </c>
      <c r="B115" s="116"/>
      <c r="C115" s="42">
        <f>SUM(C110:AB110)</f>
        <v>691.84655880933724</v>
      </c>
      <c r="D115" s="22" t="s">
        <v>26</v>
      </c>
      <c r="E115" s="23"/>
      <c r="F115" s="23"/>
      <c r="G115" s="23"/>
      <c r="H115" s="23"/>
      <c r="I115" s="78"/>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4"/>
    </row>
    <row r="116" spans="1:65" ht="12.5" x14ac:dyDescent="0.25">
      <c r="A116" s="117" t="s">
        <v>15</v>
      </c>
      <c r="B116" s="118"/>
      <c r="C116" s="83">
        <f>SUM(C110:BB110)</f>
        <v>901.00532149680168</v>
      </c>
      <c r="D116" s="91" t="s">
        <v>27</v>
      </c>
      <c r="E116" s="81"/>
      <c r="F116" s="81"/>
      <c r="G116" s="81"/>
      <c r="H116" s="81"/>
      <c r="I116" s="84"/>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4"/>
    </row>
    <row r="117" spans="1:65" ht="12.5" x14ac:dyDescent="0.25">
      <c r="A117" s="28"/>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4"/>
    </row>
    <row r="118" spans="1:65" ht="12.5" x14ac:dyDescent="0.25">
      <c r="A118" s="28"/>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4"/>
    </row>
    <row r="119" spans="1:65" ht="12.5" x14ac:dyDescent="0.25">
      <c r="A119" s="28"/>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4"/>
    </row>
    <row r="120" spans="1:65" ht="12.5" x14ac:dyDescent="0.25">
      <c r="A120" s="28"/>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4"/>
    </row>
    <row r="121" spans="1:65" ht="12.5" x14ac:dyDescent="0.25">
      <c r="A121" s="28"/>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4"/>
    </row>
    <row r="122" spans="1:65" ht="12.5" x14ac:dyDescent="0.25">
      <c r="A122" s="28"/>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4"/>
    </row>
    <row r="123" spans="1:65" ht="12.5" x14ac:dyDescent="0.25">
      <c r="A123" s="28"/>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4"/>
    </row>
    <row r="124" spans="1:65" ht="12.5" x14ac:dyDescent="0.25">
      <c r="A124" s="30"/>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4"/>
    </row>
    <row r="125" spans="1:65" ht="12.5" x14ac:dyDescent="0.25">
      <c r="A125" s="28"/>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4"/>
    </row>
    <row r="126" spans="1:65" ht="12.5" x14ac:dyDescent="0.25">
      <c r="A126" s="28"/>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4"/>
    </row>
    <row r="127" spans="1:65" ht="12.5" x14ac:dyDescent="0.25">
      <c r="A127" s="28"/>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4"/>
    </row>
    <row r="128" spans="1:65" ht="12.5" x14ac:dyDescent="0.25">
      <c r="A128" s="28"/>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4"/>
    </row>
    <row r="129" spans="1:65" ht="28" customHeight="1" thickBot="1" x14ac:dyDescent="0.3">
      <c r="A129" s="38"/>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6"/>
    </row>
    <row r="130" spans="1:65" ht="12.5" x14ac:dyDescent="0.2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row>
    <row r="131" spans="1:65" ht="40.5" customHeight="1" thickBot="1" x14ac:dyDescent="0.3">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row>
    <row r="132" spans="1:65" ht="23" x14ac:dyDescent="0.5">
      <c r="A132" s="27" t="s">
        <v>18</v>
      </c>
      <c r="B132" s="21"/>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row>
    <row r="133" spans="1:65" ht="12.5" x14ac:dyDescent="0.25">
      <c r="A133" s="28"/>
      <c r="B133" s="24"/>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row>
    <row r="134" spans="1:65" ht="75.5" thickBot="1" x14ac:dyDescent="0.3">
      <c r="A134" s="103" t="s">
        <v>20</v>
      </c>
      <c r="B134" s="104">
        <f>C116*0.1</f>
        <v>90.100532149680177</v>
      </c>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row>
    <row r="135" spans="1:65" ht="12.5" x14ac:dyDescent="0.2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row>
    <row r="136" spans="1:65" ht="12.5" x14ac:dyDescent="0.2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row>
    <row r="137" spans="1:65" ht="12.5" x14ac:dyDescent="0.2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row>
    <row r="138" spans="1:65" ht="37.5" customHeight="1" thickBot="1" x14ac:dyDescent="0.3">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row>
    <row r="139" spans="1:65" ht="23" x14ac:dyDescent="0.5">
      <c r="A139" s="27" t="s">
        <v>21</v>
      </c>
      <c r="B139" s="20"/>
      <c r="C139" s="20"/>
      <c r="D139" s="20"/>
      <c r="E139" s="20"/>
      <c r="F139" s="20"/>
      <c r="G139" s="20"/>
      <c r="H139" s="20"/>
      <c r="I139" s="20"/>
      <c r="J139" s="20"/>
      <c r="K139" s="20"/>
      <c r="L139" s="20"/>
      <c r="M139" s="20"/>
      <c r="N139" s="21"/>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row>
    <row r="140" spans="1:65" ht="12.5" x14ac:dyDescent="0.25">
      <c r="A140" s="28"/>
      <c r="B140" s="23"/>
      <c r="C140" s="45"/>
      <c r="D140" s="23"/>
      <c r="E140" s="23"/>
      <c r="F140" s="23"/>
      <c r="G140" s="23"/>
      <c r="H140" s="23"/>
      <c r="I140" s="23"/>
      <c r="J140" s="23"/>
      <c r="K140" s="23"/>
      <c r="L140" s="23"/>
      <c r="M140" s="23"/>
      <c r="N140" s="24"/>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row>
    <row r="141" spans="1:65" ht="12.5" x14ac:dyDescent="0.25">
      <c r="A141" s="108" t="s">
        <v>29</v>
      </c>
      <c r="B141" s="109"/>
      <c r="C141" s="109"/>
      <c r="D141" s="109"/>
      <c r="E141" s="109"/>
      <c r="F141" s="109"/>
      <c r="G141" s="109"/>
      <c r="H141" s="109"/>
      <c r="I141" s="109"/>
      <c r="J141" s="109"/>
      <c r="K141" s="109"/>
      <c r="L141" s="109"/>
      <c r="M141" s="109"/>
      <c r="N141" s="110"/>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row>
    <row r="142" spans="1:65" ht="12.5" x14ac:dyDescent="0.25">
      <c r="A142" s="111" t="s">
        <v>35</v>
      </c>
      <c r="B142" s="112"/>
      <c r="C142" s="112"/>
      <c r="D142" s="112"/>
      <c r="E142" s="112"/>
      <c r="F142" s="112"/>
      <c r="G142" s="112"/>
      <c r="H142" s="112"/>
      <c r="I142" s="112"/>
      <c r="J142" s="112"/>
      <c r="K142" s="112"/>
      <c r="L142" s="112"/>
      <c r="M142" s="112"/>
      <c r="N142" s="113"/>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row>
    <row r="143" spans="1:65" ht="12.5" x14ac:dyDescent="0.25">
      <c r="A143" s="108" t="s">
        <v>36</v>
      </c>
      <c r="B143" s="109"/>
      <c r="C143" s="109"/>
      <c r="D143" s="109"/>
      <c r="E143" s="109"/>
      <c r="F143" s="109"/>
      <c r="G143" s="109"/>
      <c r="H143" s="109"/>
      <c r="I143" s="109"/>
      <c r="J143" s="109"/>
      <c r="K143" s="109"/>
      <c r="L143" s="109"/>
      <c r="M143" s="109"/>
      <c r="N143" s="110"/>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row>
    <row r="144" spans="1:65" ht="12.5" x14ac:dyDescent="0.25">
      <c r="A144" s="105" t="s">
        <v>48</v>
      </c>
      <c r="B144" s="23"/>
      <c r="C144" s="48"/>
      <c r="D144" s="48"/>
      <c r="E144" s="23"/>
      <c r="F144" s="23"/>
      <c r="G144" s="23"/>
      <c r="H144" s="23"/>
      <c r="I144" s="23"/>
      <c r="J144" s="23"/>
      <c r="K144" s="23"/>
      <c r="L144" s="23"/>
      <c r="M144" s="23"/>
      <c r="N144" s="24"/>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row>
    <row r="145" spans="1:53" ht="12.5" x14ac:dyDescent="0.25">
      <c r="E145" s="23"/>
      <c r="F145" s="23"/>
      <c r="G145" s="23"/>
      <c r="H145" s="23"/>
      <c r="I145" s="23"/>
      <c r="J145" s="23"/>
      <c r="K145" s="23"/>
      <c r="L145" s="23"/>
      <c r="M145" s="23"/>
      <c r="N145" s="24"/>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row>
    <row r="146" spans="1:53" ht="25" x14ac:dyDescent="0.25">
      <c r="A146" s="67" t="s">
        <v>41</v>
      </c>
      <c r="B146" s="68" t="s">
        <v>38</v>
      </c>
      <c r="C146" s="68" t="s">
        <v>39</v>
      </c>
      <c r="D146" s="69" t="s">
        <v>40</v>
      </c>
      <c r="E146" s="23"/>
      <c r="F146" s="23"/>
      <c r="G146" s="23"/>
      <c r="H146" s="23"/>
      <c r="I146" s="23"/>
      <c r="J146" s="23"/>
      <c r="K146" s="23"/>
      <c r="L146" s="23"/>
      <c r="M146" s="23"/>
      <c r="N146" s="24"/>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row>
    <row r="147" spans="1:53" ht="12.5" x14ac:dyDescent="0.25">
      <c r="A147" s="70" t="s">
        <v>22</v>
      </c>
      <c r="B147" s="46">
        <f>BF29</f>
        <v>54432397.747243389</v>
      </c>
      <c r="C147" s="46">
        <f>'Emails clicks'!BF29</f>
        <v>2989966.9471266316</v>
      </c>
      <c r="D147" s="71">
        <f>C147/B147</f>
        <v>5.4929914368470972E-2</v>
      </c>
      <c r="E147" s="23"/>
      <c r="F147" s="23"/>
      <c r="G147" s="23"/>
      <c r="H147" s="23"/>
      <c r="I147" s="23"/>
      <c r="J147" s="23"/>
      <c r="K147" s="23"/>
      <c r="L147" s="23"/>
      <c r="M147" s="23"/>
      <c r="N147" s="24"/>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row>
    <row r="148" spans="1:53" ht="12.5" x14ac:dyDescent="0.25">
      <c r="A148" s="70" t="s">
        <v>23</v>
      </c>
      <c r="B148" s="47">
        <f>BF25</f>
        <v>100804310.14204688</v>
      </c>
      <c r="C148" s="46">
        <f>'Emails clicks'!BF25</f>
        <v>5671769.7588978549</v>
      </c>
      <c r="D148" s="71">
        <f t="shared" ref="D148:D149" si="86">C148/B148</f>
        <v>5.6265151270868931E-2</v>
      </c>
      <c r="E148" s="23"/>
      <c r="F148" s="23"/>
      <c r="G148" s="23"/>
      <c r="H148" s="23"/>
      <c r="I148" s="23"/>
      <c r="J148" s="23"/>
      <c r="K148" s="23"/>
      <c r="L148" s="23"/>
      <c r="M148" s="23"/>
      <c r="N148" s="24"/>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row>
    <row r="149" spans="1:53" ht="12.5" x14ac:dyDescent="0.25">
      <c r="A149" s="72" t="s">
        <v>24</v>
      </c>
      <c r="B149" s="73">
        <f>BF21</f>
        <v>166745934.33555621</v>
      </c>
      <c r="C149" s="73">
        <f>'Emails clicks'!BF21</f>
        <v>4565317.3777373638</v>
      </c>
      <c r="D149" s="74">
        <f t="shared" si="86"/>
        <v>2.7378882705171147E-2</v>
      </c>
      <c r="E149" s="23"/>
      <c r="F149" s="23"/>
      <c r="G149" s="23"/>
      <c r="H149" s="23"/>
      <c r="I149" s="23"/>
      <c r="J149" s="23"/>
      <c r="K149" s="23"/>
      <c r="L149" s="23"/>
      <c r="M149" s="23"/>
      <c r="N149" s="24"/>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row>
    <row r="150" spans="1:53" ht="12.5" x14ac:dyDescent="0.25">
      <c r="A150" s="28"/>
      <c r="B150" s="23"/>
      <c r="C150" s="23"/>
      <c r="D150" s="23"/>
      <c r="E150" s="23"/>
      <c r="F150" s="23"/>
      <c r="G150" s="23"/>
      <c r="H150" s="23"/>
      <c r="I150" s="23"/>
      <c r="J150" s="23"/>
      <c r="K150" s="23"/>
      <c r="L150" s="23"/>
      <c r="M150" s="23"/>
      <c r="N150" s="24"/>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row>
    <row r="151" spans="1:53" ht="12.5" x14ac:dyDescent="0.25">
      <c r="A151" s="63"/>
      <c r="B151" s="48"/>
      <c r="C151" s="48"/>
      <c r="D151" s="48"/>
      <c r="E151" s="23"/>
      <c r="F151" s="23"/>
      <c r="G151" s="23"/>
      <c r="H151" s="23"/>
      <c r="I151" s="23"/>
      <c r="J151" s="23"/>
      <c r="K151" s="23"/>
      <c r="L151" s="23"/>
      <c r="M151" s="23"/>
      <c r="N151" s="24"/>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row>
    <row r="152" spans="1:53" ht="12.5" x14ac:dyDescent="0.25">
      <c r="A152" s="30"/>
      <c r="B152" s="46"/>
      <c r="C152" s="64"/>
      <c r="D152" s="65"/>
      <c r="E152" s="23"/>
      <c r="F152" s="23"/>
      <c r="G152" s="23"/>
      <c r="H152" s="23"/>
      <c r="I152" s="23"/>
      <c r="J152" s="23"/>
      <c r="K152" s="23"/>
      <c r="L152" s="23"/>
      <c r="M152" s="23"/>
      <c r="N152" s="24"/>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row>
    <row r="153" spans="1:53" ht="12.5" x14ac:dyDescent="0.25">
      <c r="A153" s="30"/>
      <c r="B153" s="46"/>
      <c r="C153" s="64"/>
      <c r="D153" s="65"/>
      <c r="E153" s="23"/>
      <c r="F153" s="23"/>
      <c r="G153" s="23"/>
      <c r="H153" s="23"/>
      <c r="I153" s="23"/>
      <c r="J153" s="23"/>
      <c r="K153" s="23"/>
      <c r="L153" s="23"/>
      <c r="M153" s="23"/>
      <c r="N153" s="24"/>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row>
    <row r="154" spans="1:53" ht="12.5" x14ac:dyDescent="0.25">
      <c r="A154" s="30"/>
      <c r="B154" s="46"/>
      <c r="C154" s="64"/>
      <c r="D154" s="65"/>
      <c r="E154" s="23"/>
      <c r="F154" s="23"/>
      <c r="G154" s="23"/>
      <c r="H154" s="23"/>
      <c r="I154" s="23"/>
      <c r="J154" s="23"/>
      <c r="K154" s="23"/>
      <c r="L154" s="23"/>
      <c r="M154" s="23"/>
      <c r="N154" s="24"/>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row>
    <row r="155" spans="1:53" ht="12.5" x14ac:dyDescent="0.25">
      <c r="A155" s="28"/>
      <c r="B155" s="23"/>
      <c r="C155" s="23"/>
      <c r="D155" s="23"/>
      <c r="E155" s="23"/>
      <c r="F155" s="23"/>
      <c r="G155" s="23"/>
      <c r="H155" s="23"/>
      <c r="I155" s="23"/>
      <c r="J155" s="23"/>
      <c r="K155" s="23"/>
      <c r="L155" s="23"/>
      <c r="M155" s="23"/>
      <c r="N155" s="24"/>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row>
    <row r="156" spans="1:53" ht="12.5" x14ac:dyDescent="0.25">
      <c r="A156" s="28"/>
      <c r="B156" s="23"/>
      <c r="C156" s="23"/>
      <c r="D156" s="23"/>
      <c r="E156" s="23"/>
      <c r="F156" s="23"/>
      <c r="G156" s="23"/>
      <c r="H156" s="23"/>
      <c r="I156" s="23"/>
      <c r="J156" s="23"/>
      <c r="K156" s="23"/>
      <c r="L156" s="23"/>
      <c r="M156" s="23"/>
      <c r="N156" s="24"/>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row>
    <row r="157" spans="1:53" ht="12.5" x14ac:dyDescent="0.25">
      <c r="A157" s="29"/>
      <c r="B157" s="23"/>
      <c r="C157" s="23"/>
      <c r="D157" s="23"/>
      <c r="E157" s="23"/>
      <c r="F157" s="23"/>
      <c r="G157" s="23"/>
      <c r="H157" s="23"/>
      <c r="I157" s="23"/>
      <c r="J157" s="23"/>
      <c r="K157" s="23"/>
      <c r="L157" s="23"/>
      <c r="M157" s="23"/>
      <c r="N157" s="24"/>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row>
    <row r="158" spans="1:53" ht="12.5" x14ac:dyDescent="0.25">
      <c r="A158" s="30"/>
      <c r="B158" s="62"/>
      <c r="C158" s="23"/>
      <c r="D158" s="23"/>
      <c r="E158" s="23"/>
      <c r="F158" s="23"/>
      <c r="G158" s="23"/>
      <c r="H158" s="23"/>
      <c r="I158" s="23"/>
      <c r="J158" s="23"/>
      <c r="K158" s="23"/>
      <c r="L158" s="23"/>
      <c r="M158" s="23"/>
      <c r="N158" s="24"/>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row>
    <row r="159" spans="1:53" ht="13" thickBot="1" x14ac:dyDescent="0.3">
      <c r="A159" s="31"/>
      <c r="B159" s="66"/>
      <c r="C159" s="25"/>
      <c r="D159" s="25"/>
      <c r="E159" s="25"/>
      <c r="F159" s="25"/>
      <c r="G159" s="25"/>
      <c r="H159" s="25"/>
      <c r="I159" s="25"/>
      <c r="J159" s="25"/>
      <c r="K159" s="25"/>
      <c r="L159" s="25"/>
      <c r="M159" s="25"/>
      <c r="N159" s="26"/>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row>
    <row r="160" spans="1:53" ht="12.5"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row>
    <row r="161" spans="1:53" ht="12.5"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row>
    <row r="162" spans="1:53" ht="12.5"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row>
    <row r="163" spans="1:53" ht="12.5"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row>
    <row r="164" spans="1:53" ht="12.5"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row>
    <row r="165" spans="1:53" ht="12.5"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row>
    <row r="166" spans="1:53" ht="12.5"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row>
    <row r="167" spans="1:53" ht="12.5"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row>
    <row r="168" spans="1:53" ht="12.5"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row>
    <row r="169" spans="1:53" ht="12.5"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row>
    <row r="170" spans="1:53" ht="12.5"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row>
    <row r="171" spans="1:53" ht="12.5"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row>
    <row r="172" spans="1:53" ht="12.5"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row>
    <row r="173" spans="1:53" ht="12.5"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row>
    <row r="174" spans="1:53" ht="12.5"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row>
    <row r="175" spans="1:53" ht="12.5"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row>
    <row r="176" spans="1:53" ht="12.5"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row>
    <row r="177" spans="1:53" ht="12.5"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row>
    <row r="178" spans="1:53" ht="12.5"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row>
    <row r="179" spans="1:53" ht="12.5"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row>
    <row r="180" spans="1:53" ht="12.5"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row>
    <row r="181" spans="1:53" ht="12.5"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row>
    <row r="182" spans="1:53" ht="12.5"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row>
    <row r="183" spans="1:53" ht="12.5"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row>
    <row r="184" spans="1:53" ht="12.5"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row>
    <row r="185" spans="1:53" ht="12.5"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row>
    <row r="186" spans="1:53" ht="12.5"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row>
    <row r="187" spans="1:53" ht="12.5"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row>
    <row r="188" spans="1:53" ht="12.5"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row>
    <row r="189" spans="1:53" ht="12.5"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row>
    <row r="190" spans="1:53" ht="12.5"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row>
    <row r="191" spans="1:53" ht="12.5"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row>
    <row r="192" spans="1:53" ht="12.5"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row>
    <row r="193" spans="1:53" ht="12.5"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row>
    <row r="194" spans="1:53" ht="12.5"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row>
    <row r="195" spans="1:53" ht="12.5"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row>
    <row r="196" spans="1:53" ht="12.5"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row>
    <row r="197" spans="1:53" ht="12.5"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row>
    <row r="198" spans="1:53" ht="12.5"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row>
    <row r="199" spans="1:53" ht="12.5"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row>
    <row r="200" spans="1:53" ht="12.5"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row>
    <row r="201" spans="1:53" ht="12.5"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row>
    <row r="202" spans="1:53" ht="12.5"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row>
    <row r="203" spans="1:53" ht="12.5"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row>
    <row r="204" spans="1:53" ht="12.5"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row>
    <row r="205" spans="1:53" ht="12.5"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row>
    <row r="206" spans="1:53" ht="12.5"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row>
    <row r="207" spans="1:53" ht="12.5"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row>
    <row r="208" spans="1:53" ht="12.5"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row>
    <row r="209" spans="1:53" ht="12.5"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row>
    <row r="210" spans="1:53" ht="12.5"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row>
    <row r="211" spans="1:53" ht="12.5"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row>
    <row r="212" spans="1:53" ht="12.5"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row>
    <row r="213" spans="1:53" ht="12.5"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row>
    <row r="214" spans="1:53" ht="12.5"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row>
    <row r="215" spans="1:53" ht="12.5"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row>
    <row r="216" spans="1:53" ht="12.5"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row>
    <row r="217" spans="1:53" ht="12.5"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row>
    <row r="218" spans="1:53" ht="12.5"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row>
    <row r="219" spans="1:53" ht="12.5"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row>
    <row r="220" spans="1:53" ht="12.5"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row>
    <row r="221" spans="1:53" ht="12.5"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row>
    <row r="222" spans="1:53" ht="12.5"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row>
    <row r="223" spans="1:53" ht="12.5"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row>
    <row r="224" spans="1:53" ht="12.5"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row>
    <row r="225" spans="1:53" ht="12.5"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row>
    <row r="226" spans="1:53" ht="12.5"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row>
    <row r="227" spans="1:53" ht="12.5"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row>
    <row r="228" spans="1:53" ht="12.5"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row>
    <row r="229" spans="1:53" ht="12.5"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row>
    <row r="230" spans="1:53" ht="12.5"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row>
    <row r="231" spans="1:53" ht="12.5"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row>
    <row r="232" spans="1:53" ht="12.5"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row>
    <row r="233" spans="1:53" ht="12.5"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row>
    <row r="234" spans="1:53" ht="12.5"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row>
    <row r="235" spans="1:53" ht="12.5"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row>
    <row r="236" spans="1:53" ht="12.5"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row>
    <row r="237" spans="1:53" ht="12.5"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row>
    <row r="238" spans="1:53" ht="12.5"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row>
    <row r="239" spans="1:53" ht="12.5"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row>
    <row r="240" spans="1:53" ht="12.5"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row>
    <row r="241" spans="1:53" ht="12.5"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row>
    <row r="242" spans="1:53" ht="12.5"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row>
    <row r="243" spans="1:53" ht="12.5"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row>
    <row r="244" spans="1:53" ht="12.5"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row>
    <row r="245" spans="1:53" ht="12.5"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row>
    <row r="246" spans="1:53" ht="12.5"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row>
    <row r="247" spans="1:53" ht="12.5"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row>
    <row r="248" spans="1:53" ht="12.5"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row>
    <row r="249" spans="1:53" ht="12.5"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row>
    <row r="250" spans="1:53" ht="12.5"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row>
    <row r="251" spans="1:53" ht="12.5"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row>
    <row r="252" spans="1:53" ht="12.5"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row>
    <row r="253" spans="1:53" ht="12.5"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row>
    <row r="254" spans="1:53" ht="12.5"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row>
    <row r="255" spans="1:53" ht="12.5"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row>
    <row r="256" spans="1:53" ht="12.5"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row>
    <row r="257" spans="1:53" ht="12.5"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row>
    <row r="258" spans="1:53" ht="12.5"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row>
    <row r="259" spans="1:53" ht="12.5"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row>
    <row r="260" spans="1:53" ht="12.5"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row>
    <row r="261" spans="1:53" ht="12.5"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row>
    <row r="262" spans="1:53" ht="12.5"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row>
    <row r="263" spans="1:53" ht="12.5"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row>
    <row r="264" spans="1:53" ht="12.5"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row>
    <row r="265" spans="1:53" ht="12.5"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row>
    <row r="266" spans="1:53" ht="12.5"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row>
    <row r="267" spans="1:53" ht="12.5"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row>
    <row r="268" spans="1:53" ht="12.5"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row>
    <row r="269" spans="1:53" ht="12.5"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row>
    <row r="270" spans="1:53" ht="12.5"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row>
    <row r="271" spans="1:53" ht="12.5"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row>
    <row r="272" spans="1:53" ht="12.5"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row>
    <row r="273" spans="1:53" ht="12.5"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row>
    <row r="274" spans="1:53" ht="12.5"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row>
    <row r="275" spans="1:53" ht="12.5"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row>
    <row r="276" spans="1:53" ht="12.5"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row>
    <row r="277" spans="1:53" ht="12.5"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row>
    <row r="278" spans="1:53" ht="12.5"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row>
    <row r="279" spans="1:53" ht="12.5"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row>
    <row r="280" spans="1:53" ht="12.5"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row>
    <row r="281" spans="1:53" ht="12.5"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row>
    <row r="282" spans="1:53" ht="12.5"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row>
    <row r="283" spans="1:53" ht="12.5"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row>
    <row r="284" spans="1:53" ht="12.5"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row>
    <row r="285" spans="1:53" ht="12.5"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row>
    <row r="286" spans="1:53" ht="12.5"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row>
    <row r="287" spans="1:53" ht="12.5"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row>
    <row r="288" spans="1:53" ht="12.5"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row>
    <row r="289" spans="1:53" ht="12.5"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row>
    <row r="290" spans="1:53" ht="12.5"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row>
    <row r="291" spans="1:53" ht="12.5"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row>
    <row r="292" spans="1:53" ht="12.5"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row>
    <row r="293" spans="1:53" ht="12.5"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row>
    <row r="294" spans="1:53" ht="12.5"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row>
    <row r="295" spans="1:53" ht="12.5"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row>
    <row r="296" spans="1:53" ht="12.5"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row>
    <row r="297" spans="1:53" ht="12.5"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row>
    <row r="298" spans="1:53" ht="12.5"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row>
    <row r="299" spans="1:53" ht="12.5"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row>
    <row r="300" spans="1:53" ht="12.5"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row>
    <row r="301" spans="1:53" ht="12.5"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row>
    <row r="302" spans="1:53" ht="12.5"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row>
    <row r="303" spans="1:53" ht="12.5"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row>
    <row r="304" spans="1:53" ht="12.5"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row>
    <row r="305" spans="1:53" ht="12.5"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row>
    <row r="306" spans="1:53" ht="12.5"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row>
    <row r="307" spans="1:53" ht="12.5"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row>
    <row r="308" spans="1:53" ht="12.5"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row>
    <row r="309" spans="1:53" ht="12.5"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row>
    <row r="310" spans="1:53" ht="12.5"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row>
    <row r="311" spans="1:53" ht="12.5"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row>
    <row r="312" spans="1:53" ht="12.5"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row>
    <row r="313" spans="1:53" ht="12.5"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row>
    <row r="314" spans="1:53" ht="12.5"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row>
    <row r="315" spans="1:53" ht="12.5"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row>
    <row r="316" spans="1:53" ht="12.5"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row>
    <row r="317" spans="1:53" ht="12.5"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row>
    <row r="318" spans="1:53" ht="12.5"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row>
    <row r="319" spans="1:53" ht="12.5"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row>
    <row r="320" spans="1:53" ht="12.5"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row>
    <row r="321" spans="1:53" ht="12.5"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row>
    <row r="322" spans="1:53" ht="12.5"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row>
    <row r="323" spans="1:53" ht="12.5"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row>
    <row r="324" spans="1:53" ht="12.5"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row>
    <row r="325" spans="1:53" ht="12.5"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row>
    <row r="326" spans="1:53" ht="12.5"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row>
    <row r="327" spans="1:53" ht="12.5"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row>
    <row r="328" spans="1:53" ht="12.5"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row>
    <row r="329" spans="1:53" ht="12.5"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row>
    <row r="330" spans="1:53" ht="12.5"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row>
    <row r="331" spans="1:53" ht="12.5"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row>
    <row r="332" spans="1:53" ht="12.5"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row>
    <row r="333" spans="1:53" ht="12.5"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row>
    <row r="334" spans="1:53" ht="12.5"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row>
    <row r="335" spans="1:53" ht="12.5"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row>
    <row r="336" spans="1:53" ht="12.5"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row>
    <row r="337" spans="1:53" ht="12.5"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row>
    <row r="338" spans="1:53" ht="12.5"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row>
    <row r="339" spans="1:53" ht="12.5"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row>
    <row r="340" spans="1:53" ht="12.5"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row>
    <row r="341" spans="1:53" ht="12.5"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row>
    <row r="342" spans="1:53" ht="12.5"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row>
    <row r="343" spans="1:53" ht="12.5"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row>
    <row r="344" spans="1:53" ht="12.5"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row>
    <row r="345" spans="1:53" ht="12.5"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row>
    <row r="346" spans="1:53" ht="12.5"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row>
    <row r="347" spans="1:53" ht="12.5"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row>
    <row r="348" spans="1:53" ht="12.5"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row>
    <row r="349" spans="1:53" ht="12.5"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row>
    <row r="350" spans="1:53" ht="12.5"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row>
    <row r="351" spans="1:53" ht="12.5"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row>
    <row r="352" spans="1:53" ht="12.5"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row>
    <row r="353" spans="1:53" ht="12.5"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row>
    <row r="354" spans="1:53" ht="12.5"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row>
    <row r="355" spans="1:53" ht="12.5"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row>
    <row r="356" spans="1:53" ht="12.5"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row>
    <row r="357" spans="1:53" ht="12.5"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row>
    <row r="358" spans="1:53" ht="12.5"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row>
    <row r="359" spans="1:53" ht="12.5"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row>
    <row r="360" spans="1:53" ht="12.5"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row>
    <row r="361" spans="1:53" ht="12.5"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row>
    <row r="362" spans="1:53" ht="12.5"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row>
    <row r="363" spans="1:53" ht="12.5"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row>
    <row r="364" spans="1:53" ht="12.5"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row>
    <row r="365" spans="1:53" ht="12.5"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row>
    <row r="366" spans="1:53" ht="12.5"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row>
    <row r="367" spans="1:53" ht="12.5"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row>
    <row r="368" spans="1:53" ht="12.5"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row>
    <row r="369" spans="1:53" ht="12.5"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row>
    <row r="370" spans="1:53" ht="12.5"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row>
    <row r="371" spans="1:53" ht="12.5"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row>
    <row r="372" spans="1:53" ht="12.5"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row>
    <row r="373" spans="1:53" ht="12.5"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row>
    <row r="374" spans="1:53" ht="12.5"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row>
    <row r="375" spans="1:53" ht="12.5"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row>
    <row r="376" spans="1:53" ht="12.5"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row>
    <row r="377" spans="1:53" ht="12.5"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row>
    <row r="378" spans="1:53" ht="12.5"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row>
    <row r="379" spans="1:53" ht="12.5"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row>
    <row r="380" spans="1:53" ht="12.5"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row>
    <row r="381" spans="1:53" ht="12.5"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row>
    <row r="382" spans="1:53" ht="12.5"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row>
    <row r="383" spans="1:53" ht="12.5"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row>
    <row r="384" spans="1:53" ht="12.5"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row>
    <row r="385" spans="1:53" ht="12.5"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row>
    <row r="386" spans="1:53" ht="12.5"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row>
    <row r="387" spans="1:53" ht="12.5"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row>
    <row r="388" spans="1:53" ht="12.5"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row>
    <row r="389" spans="1:53" ht="12.5"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row>
    <row r="390" spans="1:53" ht="12.5"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row>
    <row r="391" spans="1:53" ht="12.5"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row>
    <row r="392" spans="1:53" ht="12.5"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row>
    <row r="393" spans="1:53" ht="12.5"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row>
    <row r="394" spans="1:53" ht="12.5"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row>
    <row r="395" spans="1:53" ht="12.5"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row>
    <row r="396" spans="1:53" ht="12.5"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row>
    <row r="397" spans="1:53" ht="12.5"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row>
    <row r="398" spans="1:53" ht="12.5"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row>
    <row r="399" spans="1:53" ht="12.5"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row>
    <row r="400" spans="1:53" ht="12.5"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row>
    <row r="401" spans="1:53" ht="12.5"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row>
    <row r="402" spans="1:53" ht="12.5"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row>
    <row r="403" spans="1:53" ht="12.5"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row>
    <row r="404" spans="1:53" ht="12.5"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row>
    <row r="405" spans="1:53" ht="12.5"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row>
    <row r="406" spans="1:53" ht="12.5"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row>
    <row r="407" spans="1:53" ht="12.5"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row>
    <row r="408" spans="1:53" ht="12.5"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row>
    <row r="409" spans="1:53" ht="12.5"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row>
    <row r="410" spans="1:53" ht="12.5"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row>
    <row r="411" spans="1:53" ht="12.5"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row>
    <row r="412" spans="1:53" ht="12.5"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row>
    <row r="413" spans="1:53" ht="12.5"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row>
    <row r="414" spans="1:53" ht="12.5"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row>
    <row r="415" spans="1:53" ht="12.5"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row>
    <row r="416" spans="1:53" ht="12.5"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row>
    <row r="417" spans="1:53" ht="12.5"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row>
    <row r="418" spans="1:53" ht="12.5"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row>
    <row r="419" spans="1:53" ht="12.5"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row>
    <row r="420" spans="1:53" ht="12.5"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row>
    <row r="421" spans="1:53" ht="12.5"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row>
    <row r="422" spans="1:53" ht="12.5"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row>
    <row r="423" spans="1:53" ht="12.5"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row>
    <row r="424" spans="1:53" ht="12.5"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row>
    <row r="425" spans="1:53" ht="12.5"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row>
    <row r="426" spans="1:53" ht="12.5"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row>
    <row r="427" spans="1:53" ht="12.5"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row>
    <row r="428" spans="1:53" ht="12.5"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row>
    <row r="429" spans="1:53" ht="12.5"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row>
    <row r="430" spans="1:53" ht="12.5"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row>
    <row r="431" spans="1:53" ht="12.5"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row>
    <row r="432" spans="1:53" ht="12.5"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row>
    <row r="433" spans="1:53" ht="12.5"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row>
    <row r="434" spans="1:53" ht="12.5"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row>
    <row r="435" spans="1:53" ht="12.5"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row>
    <row r="436" spans="1:53" ht="12.5"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row>
    <row r="437" spans="1:53" ht="12.5"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row>
    <row r="438" spans="1:53" ht="12.5"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row>
    <row r="439" spans="1:53" ht="12.5"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row>
    <row r="440" spans="1:53" ht="12.5"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row>
    <row r="441" spans="1:53" ht="12.5"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row>
    <row r="442" spans="1:53" ht="12.5"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row>
    <row r="443" spans="1:53" ht="12.5"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row>
    <row r="444" spans="1:53" ht="12.5"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row>
    <row r="445" spans="1:53" ht="12.5"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row>
    <row r="446" spans="1:53" ht="12.5"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row>
    <row r="447" spans="1:53" ht="12.5"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row>
    <row r="448" spans="1:53" ht="12.5"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row>
    <row r="449" spans="1:53" ht="12.5"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row>
    <row r="450" spans="1:53" ht="12.5"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row>
    <row r="451" spans="1:53" ht="12.5"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row>
    <row r="452" spans="1:53" ht="12.5"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row>
    <row r="453" spans="1:53" ht="12.5"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row>
    <row r="454" spans="1:53" ht="12.5"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row>
    <row r="455" spans="1:53" ht="12.5"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row>
    <row r="456" spans="1:53" ht="12.5"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row>
    <row r="457" spans="1:53" ht="12.5"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row>
    <row r="458" spans="1:53" ht="12.5"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row>
    <row r="459" spans="1:53" ht="12.5"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row>
    <row r="460" spans="1:53" ht="12.5"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row>
    <row r="461" spans="1:53" ht="12.5"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row>
    <row r="462" spans="1:53" ht="12.5"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row>
    <row r="463" spans="1:53" ht="12.5"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row>
    <row r="464" spans="1:53" ht="12.5"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row>
    <row r="465" spans="1:53" ht="12.5"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row>
    <row r="466" spans="1:53" ht="12.5"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row>
    <row r="467" spans="1:53" ht="12.5"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row>
    <row r="468" spans="1:53" ht="12.5"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row>
    <row r="469" spans="1:53" ht="12.5"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row>
    <row r="470" spans="1:53" ht="12.5"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row>
    <row r="471" spans="1:53" ht="12.5"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row>
    <row r="472" spans="1:53" ht="12.5"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row>
    <row r="473" spans="1:53" ht="12.5"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row>
    <row r="474" spans="1:53" ht="12.5"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row>
    <row r="475" spans="1:53" ht="12.5"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row>
    <row r="476" spans="1:53" ht="12.5"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row>
    <row r="477" spans="1:53" ht="12.5"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row>
    <row r="478" spans="1:53" ht="12.5"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row>
    <row r="479" spans="1:53" ht="12.5"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row>
    <row r="480" spans="1:53" ht="12.5"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row>
    <row r="481" spans="1:53" ht="12.5"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row>
    <row r="482" spans="1:53" ht="12.5"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row>
    <row r="483" spans="1:53" ht="12.5"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row>
    <row r="484" spans="1:53" ht="12.5"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row>
    <row r="485" spans="1:53" ht="12.5"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row>
    <row r="486" spans="1:53" ht="12.5"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row>
    <row r="487" spans="1:53" ht="12.5"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row>
    <row r="488" spans="1:53" ht="12.5"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row>
    <row r="489" spans="1:53" ht="12.5"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row>
    <row r="490" spans="1:53" ht="12.5"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row>
    <row r="491" spans="1:53" ht="12.5"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row>
    <row r="492" spans="1:53" ht="12.5"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row>
    <row r="493" spans="1:53" ht="12.5"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row>
    <row r="494" spans="1:53" ht="12.5"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row>
    <row r="495" spans="1:53" ht="12.5"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row>
    <row r="496" spans="1:53" ht="12.5"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row>
    <row r="497" spans="1:53" ht="12.5"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row>
    <row r="498" spans="1:53" ht="12.5"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row>
    <row r="499" spans="1:53" ht="12.5"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row>
    <row r="500" spans="1:53" ht="12.5"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row>
    <row r="501" spans="1:53" ht="12.5"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row>
    <row r="502" spans="1:53" ht="12.5"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row>
    <row r="503" spans="1:53" ht="12.5"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row>
    <row r="504" spans="1:53" ht="12.5"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row>
    <row r="505" spans="1:53" ht="12.5"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row>
    <row r="506" spans="1:53" ht="12.5"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row>
    <row r="507" spans="1:53" ht="12.5"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row>
    <row r="508" spans="1:53" ht="12.5"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row>
    <row r="509" spans="1:53" ht="12.5"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row>
    <row r="510" spans="1:53" ht="12.5"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row>
    <row r="511" spans="1:53" ht="12.5"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row>
    <row r="512" spans="1:53" ht="12.5"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row>
    <row r="513" spans="1:53" ht="12.5"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row>
    <row r="514" spans="1:53" ht="12.5"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row>
    <row r="515" spans="1:53" ht="12.5"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row>
    <row r="516" spans="1:53" ht="12.5"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row>
    <row r="517" spans="1:53" ht="12.5"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row>
    <row r="518" spans="1:53" ht="12.5"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row>
    <row r="519" spans="1:53" ht="12.5"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row>
    <row r="520" spans="1:53" ht="12.5"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row>
    <row r="521" spans="1:53" ht="12.5"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row>
    <row r="522" spans="1:53" ht="12.5"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row>
    <row r="523" spans="1:53" ht="12.5"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row>
    <row r="524" spans="1:53" ht="12.5"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row>
    <row r="525" spans="1:53" ht="12.5"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row>
    <row r="526" spans="1:53" ht="12.5"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row>
    <row r="527" spans="1:53" ht="12.5"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row>
    <row r="528" spans="1:53" ht="12.5"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row>
    <row r="529" spans="1:53" ht="12.5"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row>
    <row r="530" spans="1:53" ht="12.5"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row>
    <row r="531" spans="1:53" ht="12.5"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row>
    <row r="532" spans="1:53" ht="12.5"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row>
    <row r="533" spans="1:53" ht="12.5"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row>
    <row r="534" spans="1:53" ht="12.5"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row>
    <row r="535" spans="1:53" ht="12.5"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row>
    <row r="536" spans="1:53" ht="12.5"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row>
    <row r="537" spans="1:53" ht="12.5"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row>
    <row r="538" spans="1:53" ht="12.5"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row>
    <row r="539" spans="1:53" ht="12.5"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row>
    <row r="540" spans="1:53" ht="12.5"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row>
    <row r="541" spans="1:53" ht="12.5"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row>
    <row r="542" spans="1:53" ht="12.5"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row>
    <row r="543" spans="1:53" ht="12.5"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row>
    <row r="544" spans="1:53" ht="12.5"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row>
    <row r="545" spans="1:53" ht="12.5"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row>
    <row r="546" spans="1:53" ht="12.5"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row>
    <row r="547" spans="1:53" ht="12.5"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row>
    <row r="548" spans="1:53" ht="12.5"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row>
    <row r="549" spans="1:53" ht="12.5"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row>
    <row r="550" spans="1:53" ht="12.5"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row>
    <row r="551" spans="1:53" ht="12.5"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row>
    <row r="552" spans="1:53" ht="12.5"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row>
    <row r="553" spans="1:53" ht="12.5"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row>
    <row r="554" spans="1:53" ht="12.5"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row>
    <row r="555" spans="1:53" ht="12.5"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row>
    <row r="556" spans="1:53" ht="12.5"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row>
    <row r="557" spans="1:53" ht="12.5"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row>
    <row r="558" spans="1:53" ht="12.5"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row>
    <row r="559" spans="1:53" ht="12.5"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row>
    <row r="560" spans="1:53" ht="12.5"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row>
    <row r="561" spans="1:53" ht="12.5"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row>
    <row r="562" spans="1:53" ht="12.5"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row>
    <row r="563" spans="1:53" ht="12.5"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row>
    <row r="564" spans="1:53" ht="12.5"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row>
    <row r="565" spans="1:53" ht="12.5"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row>
    <row r="566" spans="1:53" ht="12.5"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row>
    <row r="567" spans="1:53" ht="12.5"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row>
    <row r="568" spans="1:53" ht="12.5"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row>
    <row r="569" spans="1:53" ht="12.5"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row>
    <row r="570" spans="1:53" ht="12.5"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row>
    <row r="571" spans="1:53" ht="12.5"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row>
    <row r="572" spans="1:53" ht="12.5"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row>
    <row r="573" spans="1:53" ht="12.5"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row>
    <row r="574" spans="1:53" ht="12.5"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row>
    <row r="575" spans="1:53" ht="12.5"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row>
    <row r="576" spans="1:53" ht="12.5"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row>
    <row r="577" spans="1:53" ht="12.5"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row>
    <row r="578" spans="1:53" ht="12.5"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row>
    <row r="579" spans="1:53" ht="12.5"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row>
    <row r="580" spans="1:53" ht="12.5"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row>
    <row r="581" spans="1:53" ht="12.5"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row>
    <row r="582" spans="1:53" ht="12.5"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row>
    <row r="583" spans="1:53" ht="12.5"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row>
    <row r="584" spans="1:53" ht="12.5"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row>
    <row r="585" spans="1:53" ht="12.5"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row>
    <row r="586" spans="1:53" ht="12.5"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row>
    <row r="587" spans="1:53" ht="12.5"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row>
    <row r="588" spans="1:53" ht="12.5"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row>
    <row r="589" spans="1:53" ht="12.5"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row>
    <row r="590" spans="1:53" ht="12.5"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row>
    <row r="591" spans="1:53" ht="12.5"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row>
    <row r="592" spans="1:53" ht="12.5"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row>
    <row r="593" spans="1:53" ht="12.5"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row>
    <row r="594" spans="1:53" ht="12.5"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row>
    <row r="595" spans="1:53" ht="12.5"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row>
    <row r="596" spans="1:53" ht="12.5"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row>
    <row r="597" spans="1:53" ht="12.5"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row>
    <row r="598" spans="1:53" ht="12.5"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row>
    <row r="599" spans="1:53" ht="12.5"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row>
    <row r="600" spans="1:53" ht="12.5"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row>
    <row r="601" spans="1:53" ht="12.5"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row>
    <row r="602" spans="1:53" ht="12.5"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row>
    <row r="603" spans="1:53" ht="12.5"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row>
    <row r="604" spans="1:53" ht="12.5"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row>
    <row r="605" spans="1:53" ht="12.5"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row>
    <row r="606" spans="1:53" ht="12.5"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row>
    <row r="607" spans="1:53" ht="12.5"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row>
    <row r="608" spans="1:53" ht="12.5"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row>
    <row r="609" spans="1:53" ht="12.5"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row>
    <row r="610" spans="1:53" ht="12.5"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row>
    <row r="611" spans="1:53" ht="12.5"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row>
    <row r="612" spans="1:53" ht="12.5"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row>
    <row r="613" spans="1:53" ht="12.5"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row>
    <row r="614" spans="1:53" ht="12.5"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row>
    <row r="615" spans="1:53" ht="12.5"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row>
    <row r="616" spans="1:53" ht="12.5"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row>
    <row r="617" spans="1:53" ht="12.5"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row>
    <row r="618" spans="1:53" ht="12.5"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row>
    <row r="619" spans="1:53" ht="12.5"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row>
    <row r="620" spans="1:53" ht="12.5"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row>
    <row r="621" spans="1:53" ht="12.5"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row>
    <row r="622" spans="1:53" ht="12.5"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row>
    <row r="623" spans="1:53" ht="12.5"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row>
    <row r="624" spans="1:53" ht="12.5"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row>
    <row r="625" spans="1:53" ht="12.5"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row>
    <row r="626" spans="1:53" ht="12.5"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row>
    <row r="627" spans="1:53" ht="12.5"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row>
    <row r="628" spans="1:53" ht="12.5"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row>
    <row r="629" spans="1:53" ht="12.5"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row>
    <row r="630" spans="1:53" ht="12.5"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row>
    <row r="631" spans="1:53" ht="12.5"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row>
    <row r="632" spans="1:53" ht="12.5"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row>
    <row r="633" spans="1:53" ht="12.5"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row>
    <row r="634" spans="1:53" ht="12.5"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row>
    <row r="635" spans="1:53" ht="12.5"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row>
    <row r="636" spans="1:53" ht="12.5"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row>
    <row r="637" spans="1:53" ht="12.5"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row>
    <row r="638" spans="1:53" ht="12.5"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row>
    <row r="639" spans="1:53" ht="12.5"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row>
    <row r="640" spans="1:53" ht="12.5"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row>
    <row r="641" spans="1:53" ht="12.5"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row>
    <row r="642" spans="1:53" ht="12.5"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row>
    <row r="643" spans="1:53" ht="12.5"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row>
    <row r="644" spans="1:53" ht="12.5"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row>
    <row r="645" spans="1:53" ht="12.5"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row>
    <row r="646" spans="1:53" ht="12.5"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row>
    <row r="647" spans="1:53" ht="12.5"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row>
    <row r="648" spans="1:53" ht="12.5"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row>
    <row r="649" spans="1:53" ht="12.5"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row>
    <row r="650" spans="1:53" ht="12.5"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row>
    <row r="651" spans="1:53" ht="12.5"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row>
    <row r="652" spans="1:53" ht="12.5"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row>
    <row r="653" spans="1:53" ht="12.5"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row>
    <row r="654" spans="1:53" ht="12.5"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row>
    <row r="655" spans="1:53" ht="12.5"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row>
    <row r="656" spans="1:53" ht="12.5"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row>
    <row r="657" spans="1:53" ht="12.5"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row>
    <row r="658" spans="1:53" ht="12.5"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row>
    <row r="659" spans="1:53" ht="12.5"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row>
    <row r="660" spans="1:53" ht="12.5"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row>
    <row r="661" spans="1:53" ht="12.5"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row>
    <row r="662" spans="1:53" ht="12.5"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row>
    <row r="663" spans="1:53" ht="12.5"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row>
    <row r="664" spans="1:53" ht="12.5"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row>
    <row r="665" spans="1:53" ht="12.5"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row>
    <row r="666" spans="1:53" ht="12.5"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row>
    <row r="667" spans="1:53" ht="12.5"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row>
    <row r="668" spans="1:53" ht="12.5"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row>
    <row r="669" spans="1:53" ht="12.5"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row>
    <row r="670" spans="1:53" ht="12.5"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row>
    <row r="671" spans="1:53" ht="12.5"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row>
    <row r="672" spans="1:53" ht="12.5"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row>
    <row r="673" spans="1:53" ht="12.5"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row>
    <row r="674" spans="1:53" ht="12.5"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row>
    <row r="675" spans="1:53" ht="12.5"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row>
    <row r="676" spans="1:53" ht="12.5"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row>
    <row r="677" spans="1:53" ht="12.5"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row>
    <row r="678" spans="1:53" ht="12.5"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row>
    <row r="679" spans="1:53" ht="12.5"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row>
    <row r="680" spans="1:53" ht="12.5"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row>
    <row r="681" spans="1:53" ht="12.5"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row>
    <row r="682" spans="1:53" ht="12.5"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row>
    <row r="683" spans="1:53" ht="12.5"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row>
    <row r="684" spans="1:53" ht="12.5"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row>
    <row r="685" spans="1:53" ht="12.5"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row>
    <row r="686" spans="1:53" ht="12.5"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row>
    <row r="687" spans="1:53" ht="12.5"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row>
    <row r="688" spans="1:53" ht="12.5"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row>
    <row r="689" spans="1:53" ht="12.5"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row>
    <row r="690" spans="1:53" ht="12.5"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row>
    <row r="691" spans="1:53" ht="12.5"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row>
    <row r="692" spans="1:53" ht="12.5"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row>
    <row r="693" spans="1:53" ht="12.5"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row>
    <row r="694" spans="1:53" ht="12.5"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row>
    <row r="695" spans="1:53" ht="12.5"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row>
    <row r="696" spans="1:53" ht="12.5"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row>
    <row r="697" spans="1:53" ht="12.5"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row>
    <row r="698" spans="1:53" ht="12.5"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row>
    <row r="699" spans="1:53" ht="12.5"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row>
    <row r="700" spans="1:53" ht="12.5"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row>
    <row r="701" spans="1:53" ht="12.5"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row>
    <row r="702" spans="1:53" ht="12.5"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row>
    <row r="703" spans="1:53" ht="12.5"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row>
    <row r="704" spans="1:53" ht="12.5"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row>
    <row r="705" spans="1:53" ht="12.5"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row>
    <row r="706" spans="1:53" ht="12.5"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row>
    <row r="707" spans="1:53" ht="12.5"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row>
    <row r="708" spans="1:53" ht="12.5"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row>
    <row r="709" spans="1:53" ht="12.5"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row>
    <row r="710" spans="1:53" ht="12.5"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row>
    <row r="711" spans="1:53" ht="12.5"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row>
    <row r="712" spans="1:53" ht="12.5"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row>
    <row r="713" spans="1:53" ht="12.5"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row>
    <row r="714" spans="1:53" ht="12.5"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row>
    <row r="715" spans="1:53" ht="12.5"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row>
    <row r="716" spans="1:53" ht="12.5"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row>
    <row r="717" spans="1:53" ht="12.5"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row>
    <row r="718" spans="1:53" ht="12.5"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row>
    <row r="719" spans="1:53" ht="12.5"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row>
    <row r="720" spans="1:53" ht="12.5"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row>
    <row r="721" spans="1:53" ht="12.5"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row>
    <row r="722" spans="1:53" ht="12.5"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row>
    <row r="723" spans="1:53" ht="12.5"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row>
    <row r="724" spans="1:53" ht="12.5"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row>
    <row r="725" spans="1:53" ht="12.5"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row>
    <row r="726" spans="1:53" ht="12.5"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row>
    <row r="727" spans="1:53" ht="12.5"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row>
    <row r="728" spans="1:53" ht="12.5"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row>
    <row r="729" spans="1:53" ht="12.5"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row>
    <row r="730" spans="1:53" ht="12.5"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row>
    <row r="731" spans="1:53" ht="12.5"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row>
    <row r="732" spans="1:53" ht="12.5"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row>
    <row r="733" spans="1:53" ht="12.5"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row>
    <row r="734" spans="1:53" ht="12.5"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row>
    <row r="735" spans="1:53" ht="12.5"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row>
    <row r="736" spans="1:53" ht="12.5"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row>
    <row r="737" spans="1:53" ht="12.5"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row>
    <row r="738" spans="1:53" ht="12.5"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row>
    <row r="739" spans="1:53" ht="12.5"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row>
    <row r="740" spans="1:53" ht="12.5"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row>
    <row r="741" spans="1:53" ht="12.5"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row>
    <row r="742" spans="1:53" ht="12.5"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row>
    <row r="743" spans="1:53" ht="12.5"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row>
    <row r="744" spans="1:53" ht="12.5"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row>
    <row r="745" spans="1:53" ht="12.5"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row>
    <row r="746" spans="1:53" ht="12.5"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row>
    <row r="747" spans="1:53" ht="12.5"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row>
    <row r="748" spans="1:53" ht="12.5"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row>
    <row r="749" spans="1:53" ht="12.5"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row>
    <row r="750" spans="1:53" ht="12.5"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row>
    <row r="751" spans="1:53" ht="12.5"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row>
    <row r="752" spans="1:53" ht="12.5"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row>
    <row r="753" spans="1:53" ht="12.5"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row>
    <row r="754" spans="1:53" ht="12.5"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row>
    <row r="755" spans="1:53" ht="12.5"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row>
    <row r="756" spans="1:53" ht="12.5"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row>
    <row r="757" spans="1:53" ht="12.5"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row>
    <row r="758" spans="1:53" ht="12.5"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row>
    <row r="759" spans="1:53" ht="12.5"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row>
    <row r="760" spans="1:53" ht="12.5"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row>
    <row r="761" spans="1:53" ht="12.5"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row>
    <row r="762" spans="1:53" ht="12.5"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row>
    <row r="763" spans="1:53" ht="12.5"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row>
    <row r="764" spans="1:53" ht="12.5"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row>
    <row r="765" spans="1:53" ht="12.5"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row>
    <row r="766" spans="1:53" ht="12.5"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row>
    <row r="767" spans="1:53" ht="12.5"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row>
    <row r="768" spans="1:53" ht="12.5"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row>
    <row r="769" spans="1:53" ht="12.5"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row>
    <row r="770" spans="1:53" ht="12.5"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row>
    <row r="771" spans="1:53" ht="12.5"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row>
    <row r="772" spans="1:53" ht="12.5"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row>
    <row r="773" spans="1:53" ht="12.5"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row>
    <row r="774" spans="1:53" ht="12.5"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row>
    <row r="775" spans="1:53" ht="12.5"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row>
    <row r="776" spans="1:53" ht="12.5"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row>
    <row r="777" spans="1:53" ht="12.5"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row>
    <row r="778" spans="1:53" ht="12.5"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row>
    <row r="779" spans="1:53" ht="12.5"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row>
    <row r="780" spans="1:53" ht="12.5"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row>
    <row r="781" spans="1:53" ht="12.5"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row>
    <row r="782" spans="1:53" ht="12.5"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row>
    <row r="783" spans="1:53" ht="12.5"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row>
    <row r="784" spans="1:53" ht="12.5"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row>
    <row r="785" spans="1:53" ht="12.5"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row>
    <row r="786" spans="1:53" ht="12.5"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row>
    <row r="787" spans="1:53" ht="12.5"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row>
    <row r="788" spans="1:53" ht="12.5"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row>
    <row r="789" spans="1:53" ht="12.5"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row>
    <row r="790" spans="1:53" ht="12.5"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row>
    <row r="791" spans="1:53" ht="12.5"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row>
    <row r="792" spans="1:53" ht="12.5"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row>
    <row r="793" spans="1:53" ht="12.5"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row>
    <row r="794" spans="1:53" ht="12.5"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row>
    <row r="795" spans="1:53" ht="12.5"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row>
    <row r="796" spans="1:53" ht="12.5"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row>
    <row r="797" spans="1:53" ht="12.5"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row>
    <row r="798" spans="1:53" ht="12.5"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row>
    <row r="799" spans="1:53" ht="12.5"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row>
    <row r="800" spans="1:53" ht="12.5"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row>
    <row r="801" spans="1:53" ht="12.5"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row>
    <row r="802" spans="1:53" ht="12.5"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row>
    <row r="803" spans="1:53" ht="12.5"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row>
    <row r="804" spans="1:53" ht="12.5"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row>
    <row r="805" spans="1:53" ht="12.5"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row>
    <row r="806" spans="1:53" ht="12.5"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row>
    <row r="807" spans="1:53" ht="12.5"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row>
    <row r="808" spans="1:53" ht="12.5"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row>
    <row r="809" spans="1:53" ht="12.5"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row>
    <row r="810" spans="1:53" ht="12.5"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row>
    <row r="811" spans="1:53" ht="12.5"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row>
    <row r="812" spans="1:53" ht="12.5"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row>
    <row r="813" spans="1:53" ht="12.5"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row>
    <row r="814" spans="1:53" ht="12.5"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row>
    <row r="815" spans="1:53" ht="12.5"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row>
    <row r="816" spans="1:53" ht="12.5"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row>
    <row r="817" spans="1:53" ht="12.5"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row>
    <row r="818" spans="1:53" ht="12.5"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row>
    <row r="819" spans="1:53" ht="12.5"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row>
    <row r="820" spans="1:53" ht="12.5"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row>
    <row r="821" spans="1:53" ht="12.5"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row>
    <row r="822" spans="1:53" ht="12.5"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row>
    <row r="823" spans="1:53" ht="12.5"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row>
    <row r="824" spans="1:53" ht="12.5"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row>
    <row r="825" spans="1:53" ht="12.5"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row>
    <row r="826" spans="1:53" ht="12.5"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row>
    <row r="827" spans="1:53" ht="12.5"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row>
    <row r="828" spans="1:53" ht="12.5"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row>
    <row r="829" spans="1:53" ht="12.5"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row>
    <row r="830" spans="1:53" ht="12.5"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row>
    <row r="831" spans="1:53" ht="12.5"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row>
    <row r="832" spans="1:53" ht="12.5"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row>
    <row r="833" spans="1:53" ht="12.5"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row>
    <row r="834" spans="1:53" ht="12.5"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row>
    <row r="835" spans="1:53" ht="12.5"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row>
    <row r="836" spans="1:53" ht="12.5"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row>
    <row r="837" spans="1:53" ht="12.5"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row>
    <row r="838" spans="1:53" ht="12.5"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row>
    <row r="839" spans="1:53" ht="12.5"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row>
    <row r="840" spans="1:53" ht="12.5"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row>
    <row r="841" spans="1:53" ht="12.5"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row>
    <row r="842" spans="1:53" ht="12.5"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row>
    <row r="843" spans="1:53" ht="12.5"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row>
    <row r="844" spans="1:53" ht="12.5"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row>
    <row r="845" spans="1:53" ht="12.5"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row>
    <row r="846" spans="1:53" ht="12.5"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row>
    <row r="847" spans="1:53" ht="12.5"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row>
    <row r="848" spans="1:53" ht="12.5"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row>
    <row r="849" spans="1:53" ht="12.5"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row>
    <row r="850" spans="1:53" ht="12.5"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row>
    <row r="851" spans="1:53" ht="12.5"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row>
    <row r="852" spans="1:53" ht="12.5"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row>
    <row r="853" spans="1:53" ht="12.5"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row>
    <row r="854" spans="1:53" ht="12.5"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row>
    <row r="855" spans="1:53" ht="12.5"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row>
    <row r="856" spans="1:53" ht="12.5"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row>
    <row r="857" spans="1:53" ht="12.5"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row>
    <row r="858" spans="1:53" ht="12.5"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row>
    <row r="859" spans="1:53" ht="12.5"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row>
    <row r="860" spans="1:53" ht="12.5"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row>
    <row r="861" spans="1:53" ht="12.5"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row>
    <row r="862" spans="1:53" ht="12.5"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row>
    <row r="863" spans="1:53" ht="12.5"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row>
    <row r="864" spans="1:53" ht="12.5"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row>
    <row r="865" spans="1:53" ht="12.5"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row>
    <row r="866" spans="1:53" ht="12.5"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row>
    <row r="867" spans="1:53" ht="12.5"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row>
    <row r="868" spans="1:53" ht="12.5"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row>
    <row r="869" spans="1:53" ht="12.5"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row>
    <row r="870" spans="1:53" ht="12.5"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row>
    <row r="871" spans="1:53" ht="12.5"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row>
    <row r="872" spans="1:53" ht="12.5"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row>
    <row r="873" spans="1:53" ht="12.5"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row>
    <row r="874" spans="1:53" ht="12.5"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row>
    <row r="875" spans="1:53" ht="12.5"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row>
    <row r="876" spans="1:53" ht="12.5"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row>
    <row r="877" spans="1:53" ht="12.5"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row>
    <row r="878" spans="1:53" ht="12.5"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row>
    <row r="879" spans="1:53" ht="12.5"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row>
    <row r="880" spans="1:53" ht="12.5"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row>
    <row r="881" spans="1:53" ht="12.5"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row>
    <row r="882" spans="1:53" ht="12.5"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row>
    <row r="883" spans="1:53" ht="12.5"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row>
    <row r="884" spans="1:53" ht="12.5"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row>
    <row r="885" spans="1:53" ht="12.5"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row>
    <row r="886" spans="1:53" ht="12.5"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row>
    <row r="887" spans="1:53" ht="12.5"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row>
    <row r="888" spans="1:53" ht="12.5"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row>
    <row r="889" spans="1:53" ht="12.5"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row>
    <row r="890" spans="1:53" ht="12.5"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row>
    <row r="891" spans="1:53" ht="12.5"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row>
    <row r="892" spans="1:53" ht="12.5"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row>
    <row r="893" spans="1:53" ht="12.5"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row>
    <row r="894" spans="1:53" ht="12.5"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row>
    <row r="895" spans="1:53" ht="12.5"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row>
    <row r="896" spans="1:53" ht="12.5"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row>
    <row r="897" spans="1:53" ht="12.5"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row>
    <row r="898" spans="1:53" ht="12.5"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row>
    <row r="899" spans="1:53" ht="12.5"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row>
    <row r="900" spans="1:53" ht="12.5"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row>
    <row r="901" spans="1:53" ht="12.5"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row>
    <row r="902" spans="1:53" ht="12.5"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row>
    <row r="903" spans="1:53" ht="12.5"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row>
    <row r="904" spans="1:53" ht="12.5"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row>
    <row r="905" spans="1:53" ht="12.5"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row>
    <row r="906" spans="1:53" ht="12.5"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row>
    <row r="907" spans="1:53" ht="12.5"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row>
    <row r="908" spans="1:53" ht="12.5"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row>
    <row r="909" spans="1:53" ht="12.5"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row>
    <row r="910" spans="1:53" ht="12.5"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row>
    <row r="911" spans="1:53" ht="12.5"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row>
    <row r="912" spans="1:53" ht="12.5"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row>
    <row r="913" spans="1:53" ht="12.5"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row>
    <row r="914" spans="1:53" ht="12.5"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row>
    <row r="915" spans="1:53" ht="12.5"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row>
    <row r="916" spans="1:53" ht="12.5"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row>
    <row r="917" spans="1:53" ht="12.5"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row>
    <row r="918" spans="1:53" ht="12.5"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row>
    <row r="919" spans="1:53" ht="12.5"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row>
    <row r="920" spans="1:53" ht="12.5"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row>
    <row r="921" spans="1:53" ht="12.5"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row>
    <row r="922" spans="1:53" ht="12.5"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row>
    <row r="923" spans="1:53" ht="12.5"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row>
    <row r="924" spans="1:53" ht="12.5"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row>
    <row r="925" spans="1:53" ht="12.5"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row>
    <row r="926" spans="1:53" ht="12.5"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row>
    <row r="927" spans="1:53" ht="12.5"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row>
    <row r="928" spans="1:53" ht="12.5"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row>
    <row r="929" spans="1:53" ht="12.5"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row>
    <row r="930" spans="1:53" ht="12.5"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row>
    <row r="931" spans="1:53" ht="12.5"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row>
    <row r="932" spans="1:53" ht="12.5"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row>
    <row r="933" spans="1:53" ht="12.5"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row>
    <row r="934" spans="1:53" ht="12.5"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row>
    <row r="935" spans="1:53" ht="12.5"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row>
    <row r="936" spans="1:53" ht="12.5"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row>
    <row r="937" spans="1:53" ht="12.5"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row>
    <row r="938" spans="1:53" ht="12.5"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row>
    <row r="939" spans="1:53" ht="12.5"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row>
    <row r="940" spans="1:53" ht="12.5"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row>
    <row r="941" spans="1:53" ht="12.5"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row>
    <row r="942" spans="1:53" ht="12.5"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row>
    <row r="943" spans="1:53" ht="12.5"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row>
    <row r="944" spans="1:53" ht="12.5"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row>
    <row r="945" spans="1:53" ht="12.5"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row>
    <row r="946" spans="1:53" ht="12.5"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row>
    <row r="947" spans="1:53" ht="12.5"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row>
    <row r="948" spans="1:53" ht="12.5"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row>
    <row r="949" spans="1:53" ht="12.5"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row>
    <row r="950" spans="1:53" ht="12.5"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row>
    <row r="951" spans="1:53" ht="12.5"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row>
    <row r="952" spans="1:53" ht="12.5"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row>
    <row r="953" spans="1:53" ht="12.5"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row>
    <row r="954" spans="1:53" ht="12.5"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row>
    <row r="955" spans="1:53" ht="12.5"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row>
    <row r="956" spans="1:53" ht="12.5"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row>
    <row r="957" spans="1:53" ht="12.5"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row>
    <row r="958" spans="1:53" ht="12.5"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row>
    <row r="959" spans="1:53" ht="12.5"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row>
    <row r="960" spans="1:53" ht="12.5"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row>
    <row r="961" spans="1:53" ht="12.5"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row>
    <row r="962" spans="1:53" ht="12.5"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row>
    <row r="963" spans="1:53" ht="12.5"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row>
    <row r="964" spans="1:53" ht="12.5"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row>
    <row r="965" spans="1:53" ht="12.5"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row>
    <row r="966" spans="1:53" ht="12.5"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row>
    <row r="967" spans="1:53" ht="12.5"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row>
    <row r="968" spans="1:53" ht="12.5"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row>
    <row r="969" spans="1:53" ht="12.5"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row>
    <row r="970" spans="1:53" ht="12.5"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row>
    <row r="971" spans="1:53" ht="12.5"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row>
    <row r="972" spans="1:53" ht="12.5"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row>
    <row r="973" spans="1:53" ht="12.5"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row>
    <row r="974" spans="1:53" ht="12.5"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row>
    <row r="975" spans="1:53" ht="12.5"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row>
    <row r="976" spans="1:53" ht="12.5"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row>
    <row r="977" spans="1:53" ht="12.5"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row>
    <row r="978" spans="1:53" ht="12.5"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row>
    <row r="979" spans="1:53" ht="12.5"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row>
    <row r="980" spans="1:53" ht="12.5"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row>
    <row r="981" spans="1:53" ht="12.5"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row>
    <row r="982" spans="1:53" ht="12.5"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row>
    <row r="983" spans="1:53" ht="12.5"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row>
    <row r="984" spans="1:53" ht="12.5"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row>
    <row r="985" spans="1:53" ht="12.5"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row>
    <row r="986" spans="1:53" ht="12.5"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row>
    <row r="987" spans="1:53" ht="12.5"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row>
    <row r="988" spans="1:53" ht="12.5"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row>
    <row r="989" spans="1:53" ht="12.5"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row>
    <row r="990" spans="1:53" ht="12.5"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row>
    <row r="991" spans="1:53" ht="12.5"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row>
    <row r="992" spans="1:53" ht="12.5"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row>
    <row r="993" spans="1:53" ht="12.5"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row>
    <row r="994" spans="1:53" ht="12.5"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row>
    <row r="995" spans="1:53" ht="12.5"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row>
    <row r="996" spans="1:53" ht="12.5"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row>
    <row r="997" spans="1:53" ht="12.5"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row>
    <row r="998" spans="1:53" ht="12.5"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row>
    <row r="999" spans="1:53" ht="12.5"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row>
    <row r="1000" spans="1:53" ht="12.5"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row>
  </sheetData>
  <mergeCells count="15">
    <mergeCell ref="BF21:BF24"/>
    <mergeCell ref="BF25:BF28"/>
    <mergeCell ref="BF29:BF32"/>
    <mergeCell ref="BC20:BD20"/>
    <mergeCell ref="BC2:BD2"/>
    <mergeCell ref="BC21:BD24"/>
    <mergeCell ref="A143:N143"/>
    <mergeCell ref="A141:N141"/>
    <mergeCell ref="A142:N142"/>
    <mergeCell ref="BC29:BD32"/>
    <mergeCell ref="BC25:BD28"/>
    <mergeCell ref="A114:B114"/>
    <mergeCell ref="A115:B115"/>
    <mergeCell ref="A116:B116"/>
    <mergeCell ref="A113:B1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A1000"/>
  <sheetViews>
    <sheetView topLeftCell="A17" zoomScale="70" zoomScaleNormal="70" workbookViewId="0">
      <selection activeCell="U76" sqref="U76"/>
    </sheetView>
  </sheetViews>
  <sheetFormatPr defaultColWidth="12.6328125" defaultRowHeight="15.75" customHeight="1" x14ac:dyDescent="0.25"/>
  <cols>
    <col min="1" max="1" width="29.6328125" customWidth="1"/>
    <col min="2" max="2" width="17" bestFit="1" customWidth="1"/>
    <col min="3" max="3" width="9" bestFit="1" customWidth="1"/>
    <col min="4" max="46" width="7" bestFit="1" customWidth="1"/>
    <col min="47" max="47" width="6.36328125" customWidth="1"/>
    <col min="48" max="48" width="19.453125" bestFit="1" customWidth="1"/>
    <col min="49" max="49" width="9" bestFit="1" customWidth="1"/>
    <col min="50" max="52" width="6.36328125" customWidth="1"/>
    <col min="53" max="53" width="5.453125" customWidth="1"/>
  </cols>
  <sheetData>
    <row r="1" spans="1:53" ht="23" x14ac:dyDescent="0.5">
      <c r="A1" s="4" t="s">
        <v>3</v>
      </c>
      <c r="B1" s="2"/>
      <c r="C1" s="130"/>
      <c r="D1" s="131"/>
      <c r="E1" s="131"/>
      <c r="F1" s="131"/>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row>
    <row r="2" spans="1:53" ht="15.75" customHeight="1" x14ac:dyDescent="0.25">
      <c r="A2" s="6"/>
      <c r="B2" s="6" t="s">
        <v>4</v>
      </c>
      <c r="C2" s="7">
        <v>1</v>
      </c>
      <c r="D2" s="7">
        <v>2</v>
      </c>
      <c r="E2" s="7">
        <v>3</v>
      </c>
      <c r="F2" s="7">
        <v>4</v>
      </c>
      <c r="G2" s="7">
        <v>5</v>
      </c>
      <c r="H2" s="7">
        <v>6</v>
      </c>
      <c r="I2" s="7">
        <v>7</v>
      </c>
      <c r="J2" s="7">
        <v>8</v>
      </c>
      <c r="K2" s="7">
        <v>9</v>
      </c>
      <c r="L2" s="7">
        <v>10</v>
      </c>
      <c r="M2" s="7">
        <v>11</v>
      </c>
      <c r="N2" s="7">
        <v>12</v>
      </c>
      <c r="O2" s="7">
        <v>13</v>
      </c>
      <c r="P2" s="7">
        <v>14</v>
      </c>
      <c r="Q2" s="7">
        <v>15</v>
      </c>
      <c r="R2" s="7">
        <v>16</v>
      </c>
      <c r="S2" s="7">
        <v>17</v>
      </c>
      <c r="T2" s="7">
        <v>18</v>
      </c>
      <c r="U2" s="7">
        <v>19</v>
      </c>
      <c r="V2" s="7">
        <v>20</v>
      </c>
      <c r="W2" s="7">
        <v>21</v>
      </c>
      <c r="X2" s="7">
        <v>22</v>
      </c>
      <c r="Y2" s="7">
        <v>23</v>
      </c>
      <c r="Z2" s="7">
        <v>24</v>
      </c>
      <c r="AA2" s="7">
        <v>25</v>
      </c>
      <c r="AB2" s="7">
        <v>26</v>
      </c>
      <c r="AC2" s="7">
        <v>27</v>
      </c>
      <c r="AD2" s="7">
        <v>28</v>
      </c>
      <c r="AE2" s="7">
        <v>29</v>
      </c>
      <c r="AF2" s="7">
        <v>30</v>
      </c>
      <c r="AG2" s="7">
        <v>31</v>
      </c>
      <c r="AH2" s="7">
        <v>32</v>
      </c>
      <c r="AI2" s="7">
        <v>33</v>
      </c>
      <c r="AJ2" s="7">
        <v>34</v>
      </c>
      <c r="AK2" s="7">
        <v>35</v>
      </c>
      <c r="AL2" s="7">
        <v>36</v>
      </c>
      <c r="AM2" s="7">
        <v>37</v>
      </c>
      <c r="AN2" s="7">
        <v>38</v>
      </c>
      <c r="AO2" s="7">
        <v>39</v>
      </c>
      <c r="AP2" s="7">
        <v>40</v>
      </c>
      <c r="AQ2" s="7">
        <v>41</v>
      </c>
      <c r="AR2" s="7">
        <v>42</v>
      </c>
      <c r="AS2" s="7">
        <v>43</v>
      </c>
      <c r="AT2" s="7">
        <v>44</v>
      </c>
      <c r="AU2" s="5"/>
      <c r="AV2" s="5"/>
      <c r="AW2" s="5"/>
      <c r="AX2" s="5"/>
      <c r="AY2" s="5"/>
      <c r="AZ2" s="5"/>
      <c r="BA2" s="5"/>
    </row>
    <row r="3" spans="1:53" ht="15.75" customHeight="1" x14ac:dyDescent="0.25">
      <c r="A3" s="8"/>
      <c r="B3" s="2"/>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spans="1:53" ht="15.75" customHeight="1" x14ac:dyDescent="0.25">
      <c r="A4" s="2" t="s">
        <v>5</v>
      </c>
      <c r="B4" s="2" t="s">
        <v>6</v>
      </c>
      <c r="C4" s="9"/>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row>
    <row r="5" spans="1:53" ht="14.5" customHeight="1" x14ac:dyDescent="0.25">
      <c r="A5" s="2">
        <v>44</v>
      </c>
      <c r="B5" s="2">
        <v>23612</v>
      </c>
      <c r="C5" s="9">
        <v>0.51990000000000003</v>
      </c>
      <c r="D5" s="9"/>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106"/>
      <c r="AW5" s="5"/>
      <c r="AX5" s="54"/>
      <c r="AY5" s="5"/>
      <c r="AZ5" s="5"/>
      <c r="BA5" s="107"/>
    </row>
    <row r="6" spans="1:53" ht="14.5" customHeight="1" x14ac:dyDescent="0.25">
      <c r="A6" s="2">
        <v>43</v>
      </c>
      <c r="B6" s="2">
        <v>24301</v>
      </c>
      <c r="C6" s="9">
        <v>0.55859999999999999</v>
      </c>
      <c r="D6" s="9">
        <v>0.44469999999999998</v>
      </c>
      <c r="E6" s="9"/>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106"/>
      <c r="AW6" s="18"/>
      <c r="AX6" s="54"/>
      <c r="AY6" s="18"/>
      <c r="AZ6" s="5"/>
      <c r="BA6" s="107"/>
    </row>
    <row r="7" spans="1:53" ht="14.5" customHeight="1" x14ac:dyDescent="0.25">
      <c r="A7" s="2">
        <v>42</v>
      </c>
      <c r="B7" s="2">
        <v>24460</v>
      </c>
      <c r="C7" s="9">
        <v>0.53939999999999999</v>
      </c>
      <c r="D7" s="9">
        <v>0.47260000000000002</v>
      </c>
      <c r="E7" s="9">
        <v>0.38829999999999998</v>
      </c>
      <c r="F7" s="9"/>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106"/>
      <c r="AW7" s="18"/>
      <c r="AX7" s="54"/>
      <c r="AY7" s="18"/>
      <c r="AZ7" s="5"/>
      <c r="BA7" s="107"/>
    </row>
    <row r="8" spans="1:53" ht="14.5" customHeight="1" x14ac:dyDescent="0.25">
      <c r="A8" s="2">
        <v>41</v>
      </c>
      <c r="B8" s="2">
        <v>24277</v>
      </c>
      <c r="C8" s="9">
        <v>0.52769999999999995</v>
      </c>
      <c r="D8" s="9">
        <v>0.45879999999999999</v>
      </c>
      <c r="E8" s="10">
        <v>0.42</v>
      </c>
      <c r="F8" s="9">
        <v>0.35039999999999999</v>
      </c>
      <c r="G8" s="9"/>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106"/>
      <c r="AW8" s="18"/>
      <c r="AX8" s="54"/>
      <c r="AY8" s="18"/>
      <c r="AZ8" s="5"/>
      <c r="BA8" s="107"/>
    </row>
    <row r="9" spans="1:53" ht="14.5" customHeight="1" x14ac:dyDescent="0.25">
      <c r="A9" s="2">
        <v>40</v>
      </c>
      <c r="B9" s="2">
        <v>25293</v>
      </c>
      <c r="C9" s="9">
        <v>0.51849999999999996</v>
      </c>
      <c r="D9" s="9">
        <v>0.45150000000000001</v>
      </c>
      <c r="E9" s="9">
        <v>0.40849999999999997</v>
      </c>
      <c r="F9" s="9">
        <v>0.3881</v>
      </c>
      <c r="G9" s="9">
        <v>0.31659999999999999</v>
      </c>
      <c r="H9" s="9"/>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106"/>
      <c r="AW9" s="18"/>
      <c r="AX9" s="54"/>
      <c r="AY9" s="18"/>
      <c r="AZ9" s="5"/>
      <c r="BA9" s="107"/>
    </row>
    <row r="10" spans="1:53" ht="14.5" customHeight="1" x14ac:dyDescent="0.25">
      <c r="A10" s="2">
        <v>39</v>
      </c>
      <c r="B10" s="2">
        <v>29262</v>
      </c>
      <c r="C10" s="9">
        <v>0.55100000000000005</v>
      </c>
      <c r="D10" s="9">
        <v>0.47210000000000002</v>
      </c>
      <c r="E10" s="9">
        <v>0.42459999999999998</v>
      </c>
      <c r="F10" s="9">
        <v>0.39410000000000001</v>
      </c>
      <c r="G10" s="9">
        <v>0.36899999999999999</v>
      </c>
      <c r="H10" s="9">
        <v>0.30969999999999998</v>
      </c>
      <c r="I10" s="9"/>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106"/>
      <c r="AW10" s="18"/>
      <c r="AX10" s="54"/>
      <c r="AY10" s="18"/>
      <c r="AZ10" s="5"/>
      <c r="BA10" s="107"/>
    </row>
    <row r="11" spans="1:53" ht="14.5" customHeight="1" x14ac:dyDescent="0.25">
      <c r="A11" s="2">
        <v>38</v>
      </c>
      <c r="B11" s="2">
        <v>28848</v>
      </c>
      <c r="C11" s="9">
        <v>0.5524</v>
      </c>
      <c r="D11" s="9">
        <v>0.47539999999999999</v>
      </c>
      <c r="E11" s="9">
        <v>0.4234</v>
      </c>
      <c r="F11" s="9">
        <v>0.3921</v>
      </c>
      <c r="G11" s="9">
        <v>0.36009999999999998</v>
      </c>
      <c r="H11" s="9">
        <v>0.3407</v>
      </c>
      <c r="I11" s="9">
        <v>0.28939999999999999</v>
      </c>
      <c r="J11" s="9"/>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106"/>
      <c r="AW11" s="18"/>
      <c r="AX11" s="54"/>
      <c r="AY11" s="18"/>
      <c r="AZ11" s="5"/>
      <c r="BA11" s="107"/>
    </row>
    <row r="12" spans="1:53" ht="14.5" customHeight="1" x14ac:dyDescent="0.25">
      <c r="A12" s="2">
        <v>37</v>
      </c>
      <c r="B12" s="2">
        <v>28741</v>
      </c>
      <c r="C12" s="9">
        <v>0.45140000000000002</v>
      </c>
      <c r="D12" s="9">
        <v>0.38179999999999997</v>
      </c>
      <c r="E12" s="9">
        <v>0.34549999999999997</v>
      </c>
      <c r="F12" s="9">
        <v>0.31340000000000001</v>
      </c>
      <c r="G12" s="9">
        <v>0.28649999999999998</v>
      </c>
      <c r="H12" s="9">
        <v>0.26079999999999998</v>
      </c>
      <c r="I12" s="9">
        <v>0.25280000000000002</v>
      </c>
      <c r="J12" s="9">
        <v>0.20699999999999999</v>
      </c>
      <c r="K12" s="9"/>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106"/>
      <c r="AW12" s="18"/>
      <c r="AX12" s="54"/>
      <c r="AY12" s="18"/>
      <c r="AZ12" s="5"/>
      <c r="BA12" s="107"/>
    </row>
    <row r="13" spans="1:53" ht="14.5" customHeight="1" x14ac:dyDescent="0.25">
      <c r="A13" s="2">
        <v>36</v>
      </c>
      <c r="B13" s="2">
        <v>22074</v>
      </c>
      <c r="C13" s="9">
        <v>0.51419999999999999</v>
      </c>
      <c r="D13" s="9">
        <v>0.44729999999999998</v>
      </c>
      <c r="E13" s="9">
        <v>0.4032</v>
      </c>
      <c r="F13" s="9">
        <v>0.37980000000000003</v>
      </c>
      <c r="G13" s="9">
        <v>0.33850000000000002</v>
      </c>
      <c r="H13" s="9">
        <v>0.31690000000000002</v>
      </c>
      <c r="I13" s="9">
        <v>0.29699999999999999</v>
      </c>
      <c r="J13" s="9">
        <v>0.28100000000000003</v>
      </c>
      <c r="K13" s="9">
        <v>0.2427</v>
      </c>
      <c r="L13" s="9"/>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106"/>
      <c r="AW13" s="18"/>
      <c r="AX13" s="54"/>
      <c r="AY13" s="18"/>
      <c r="AZ13" s="5"/>
      <c r="BA13" s="107"/>
    </row>
    <row r="14" spans="1:53" ht="14.5" customHeight="1" x14ac:dyDescent="0.25">
      <c r="A14" s="2">
        <v>35</v>
      </c>
      <c r="B14" s="2">
        <v>24252</v>
      </c>
      <c r="C14" s="9">
        <v>0.56720000000000004</v>
      </c>
      <c r="D14" s="9">
        <v>0.50280000000000002</v>
      </c>
      <c r="E14" s="9">
        <v>0.45689999999999997</v>
      </c>
      <c r="F14" s="9">
        <v>0.4279</v>
      </c>
      <c r="G14" s="9">
        <v>0.38679999999999998</v>
      </c>
      <c r="H14" s="9">
        <v>0.35980000000000001</v>
      </c>
      <c r="I14" s="9">
        <v>0.34079999999999999</v>
      </c>
      <c r="J14" s="9">
        <v>0.32290000000000002</v>
      </c>
      <c r="K14" s="9">
        <v>0.30930000000000002</v>
      </c>
      <c r="L14" s="9">
        <v>0.26529999999999998</v>
      </c>
      <c r="M14" s="9"/>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106"/>
      <c r="AW14" s="18"/>
      <c r="AX14" s="54"/>
      <c r="AY14" s="18"/>
      <c r="AZ14" s="5"/>
      <c r="BA14" s="107"/>
    </row>
    <row r="15" spans="1:53" ht="14.5" customHeight="1" x14ac:dyDescent="0.25">
      <c r="A15" s="2">
        <v>34</v>
      </c>
      <c r="B15" s="2">
        <v>28525</v>
      </c>
      <c r="C15" s="9">
        <v>0.5887</v>
      </c>
      <c r="D15" s="9">
        <v>0.52290000000000003</v>
      </c>
      <c r="E15" s="9">
        <v>0.48230000000000001</v>
      </c>
      <c r="F15" s="9">
        <v>0.4531</v>
      </c>
      <c r="G15" s="9">
        <v>0.41760000000000003</v>
      </c>
      <c r="H15" s="9">
        <v>0.38829999999999998</v>
      </c>
      <c r="I15" s="9">
        <v>0.35980000000000001</v>
      </c>
      <c r="J15" s="9">
        <v>0.34510000000000002</v>
      </c>
      <c r="K15" s="9">
        <v>0.3301</v>
      </c>
      <c r="L15" s="9">
        <v>0.31509999999999999</v>
      </c>
      <c r="M15" s="9">
        <v>0.27639999999999998</v>
      </c>
      <c r="N15" s="9"/>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106"/>
      <c r="AW15" s="18"/>
      <c r="AX15" s="54"/>
      <c r="AY15" s="18"/>
      <c r="AZ15" s="5"/>
      <c r="BA15" s="107"/>
    </row>
    <row r="16" spans="1:53" ht="14.5" customHeight="1" x14ac:dyDescent="0.25">
      <c r="A16" s="2">
        <v>33</v>
      </c>
      <c r="B16" s="2">
        <v>30221</v>
      </c>
      <c r="C16" s="9">
        <v>0.60509999999999997</v>
      </c>
      <c r="D16" s="9">
        <v>0.5333</v>
      </c>
      <c r="E16" s="9">
        <v>0.49049999999999999</v>
      </c>
      <c r="F16" s="9">
        <v>0.46839999999999998</v>
      </c>
      <c r="G16" s="9">
        <v>0.43809999999999999</v>
      </c>
      <c r="H16" s="9">
        <v>0.40860000000000002</v>
      </c>
      <c r="I16" s="9">
        <v>0.38269999999999998</v>
      </c>
      <c r="J16" s="9">
        <v>0.35920000000000002</v>
      </c>
      <c r="K16" s="10">
        <v>0.34</v>
      </c>
      <c r="L16" s="9">
        <v>0.3231</v>
      </c>
      <c r="M16" s="9">
        <v>0.314</v>
      </c>
      <c r="N16" s="9">
        <v>0.27289999999999998</v>
      </c>
      <c r="O16" s="9"/>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106"/>
      <c r="AW16" s="18"/>
      <c r="AX16" s="54"/>
      <c r="AY16" s="18"/>
      <c r="AZ16" s="5"/>
      <c r="BA16" s="107"/>
    </row>
    <row r="17" spans="1:53" ht="14.5" customHeight="1" x14ac:dyDescent="0.25">
      <c r="A17" s="2">
        <v>32</v>
      </c>
      <c r="B17" s="2">
        <v>26927</v>
      </c>
      <c r="C17" s="9">
        <v>0.58679999999999999</v>
      </c>
      <c r="D17" s="9">
        <v>0.52239999999999998</v>
      </c>
      <c r="E17" s="9">
        <v>0.48399999999999999</v>
      </c>
      <c r="F17" s="9">
        <v>0.45550000000000002</v>
      </c>
      <c r="G17" s="9">
        <v>0.42799999999999999</v>
      </c>
      <c r="H17" s="9">
        <v>0.39979999999999999</v>
      </c>
      <c r="I17" s="9">
        <v>0.38269999999999998</v>
      </c>
      <c r="J17" s="9">
        <v>0.3533</v>
      </c>
      <c r="K17" s="9">
        <v>0.33229999999999998</v>
      </c>
      <c r="L17" s="9">
        <v>0.31919999999999998</v>
      </c>
      <c r="M17" s="9">
        <v>0.30170000000000002</v>
      </c>
      <c r="N17" s="9">
        <v>0.2908</v>
      </c>
      <c r="O17" s="9">
        <v>0.25280000000000002</v>
      </c>
      <c r="P17" s="9"/>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106"/>
      <c r="AW17" s="18"/>
      <c r="AX17" s="54"/>
      <c r="AY17" s="18"/>
      <c r="AZ17" s="5"/>
      <c r="BA17" s="107"/>
    </row>
    <row r="18" spans="1:53" ht="14.5" customHeight="1" x14ac:dyDescent="0.25">
      <c r="A18" s="2">
        <v>31</v>
      </c>
      <c r="B18" s="2">
        <v>26498</v>
      </c>
      <c r="C18" s="9">
        <v>0.57340000000000002</v>
      </c>
      <c r="D18" s="9">
        <v>0.52080000000000004</v>
      </c>
      <c r="E18" s="9">
        <v>0.48110000000000003</v>
      </c>
      <c r="F18" s="9">
        <v>0.44979999999999998</v>
      </c>
      <c r="G18" s="9">
        <v>0.42120000000000002</v>
      </c>
      <c r="H18" s="9">
        <v>0.39960000000000001</v>
      </c>
      <c r="I18" s="9">
        <v>0.38080000000000003</v>
      </c>
      <c r="J18" s="9">
        <v>0.36009999999999998</v>
      </c>
      <c r="K18" s="9">
        <v>0.33739999999999998</v>
      </c>
      <c r="L18" s="9">
        <v>0.31759999999999999</v>
      </c>
      <c r="M18" s="9">
        <v>0.30740000000000001</v>
      </c>
      <c r="N18" s="9">
        <v>0.29220000000000002</v>
      </c>
      <c r="O18" s="9">
        <v>0.28260000000000002</v>
      </c>
      <c r="P18" s="9">
        <v>0.2485</v>
      </c>
      <c r="Q18" s="9"/>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106"/>
      <c r="AW18" s="18"/>
      <c r="AX18" s="54"/>
      <c r="AY18" s="18"/>
      <c r="AZ18" s="5"/>
      <c r="BA18" s="107"/>
    </row>
    <row r="19" spans="1:53" ht="14.5" customHeight="1" x14ac:dyDescent="0.25">
      <c r="A19" s="2">
        <v>30</v>
      </c>
      <c r="B19" s="2">
        <v>27814</v>
      </c>
      <c r="C19" s="9">
        <v>0.55740000000000001</v>
      </c>
      <c r="D19" s="9">
        <v>0.50590000000000002</v>
      </c>
      <c r="E19" s="9">
        <v>0.47460000000000002</v>
      </c>
      <c r="F19" s="9">
        <v>0.45079999999999998</v>
      </c>
      <c r="G19" s="9">
        <v>0.41670000000000001</v>
      </c>
      <c r="H19" s="9">
        <v>0.39090000000000003</v>
      </c>
      <c r="I19" s="9">
        <v>0.37609999999999999</v>
      </c>
      <c r="J19" s="9">
        <v>0.3589</v>
      </c>
      <c r="K19" s="9">
        <v>0.34079999999999999</v>
      </c>
      <c r="L19" s="9">
        <v>0.32069999999999999</v>
      </c>
      <c r="M19" s="9">
        <v>0.3014</v>
      </c>
      <c r="N19" s="9">
        <v>0.28860000000000002</v>
      </c>
      <c r="O19" s="9">
        <v>0.2767</v>
      </c>
      <c r="P19" s="9">
        <v>0.26550000000000001</v>
      </c>
      <c r="Q19" s="9">
        <v>0.2344</v>
      </c>
      <c r="R19" s="9"/>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106"/>
      <c r="AW19" s="18"/>
      <c r="AX19" s="54"/>
      <c r="AY19" s="18"/>
      <c r="AZ19" s="5"/>
      <c r="BA19" s="107"/>
    </row>
    <row r="20" spans="1:53" ht="14.5" customHeight="1" x14ac:dyDescent="0.25">
      <c r="A20" s="2">
        <v>29</v>
      </c>
      <c r="B20" s="2">
        <v>27664</v>
      </c>
      <c r="C20" s="9">
        <v>0.5413</v>
      </c>
      <c r="D20" s="9">
        <v>0.49249999999999999</v>
      </c>
      <c r="E20" s="9">
        <v>0.4703</v>
      </c>
      <c r="F20" s="9">
        <v>0.4541</v>
      </c>
      <c r="G20" s="9">
        <v>0.4239</v>
      </c>
      <c r="H20" s="9">
        <v>0.39910000000000001</v>
      </c>
      <c r="I20" s="9">
        <v>0.378</v>
      </c>
      <c r="J20" s="9">
        <v>0.36459999999999998</v>
      </c>
      <c r="K20" s="9">
        <v>0.34589999999999999</v>
      </c>
      <c r="L20" s="9">
        <v>0.32529999999999998</v>
      </c>
      <c r="M20" s="9">
        <v>0.3145</v>
      </c>
      <c r="N20" s="9">
        <v>0.29480000000000001</v>
      </c>
      <c r="O20" s="9">
        <v>0.28289999999999998</v>
      </c>
      <c r="P20" s="9">
        <v>0.27210000000000001</v>
      </c>
      <c r="Q20" s="9">
        <v>0.26400000000000001</v>
      </c>
      <c r="R20" s="9">
        <v>0.22869999999999999</v>
      </c>
      <c r="S20" s="9"/>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106"/>
      <c r="AW20" s="18"/>
      <c r="AX20" s="54"/>
      <c r="AY20" s="18"/>
      <c r="AZ20" s="5"/>
      <c r="BA20" s="107"/>
    </row>
    <row r="21" spans="1:53" ht="14.5" customHeight="1" x14ac:dyDescent="0.25">
      <c r="A21" s="2">
        <v>28</v>
      </c>
      <c r="B21" s="2">
        <v>26366</v>
      </c>
      <c r="C21" s="9">
        <v>0.5071</v>
      </c>
      <c r="D21" s="9">
        <v>0.47939999999999999</v>
      </c>
      <c r="E21" s="9">
        <v>0.48049999999999998</v>
      </c>
      <c r="F21" s="9">
        <v>0.49669999999999997</v>
      </c>
      <c r="G21" s="9">
        <v>0.46189999999999998</v>
      </c>
      <c r="H21" s="9">
        <v>0.436</v>
      </c>
      <c r="I21" s="9">
        <v>0.40989999999999999</v>
      </c>
      <c r="J21" s="9">
        <v>0.39140000000000003</v>
      </c>
      <c r="K21" s="9">
        <v>0.37580000000000002</v>
      </c>
      <c r="L21" s="9">
        <v>0.35949999999999999</v>
      </c>
      <c r="M21" s="9">
        <v>0.34210000000000002</v>
      </c>
      <c r="N21" s="9">
        <v>0.3236</v>
      </c>
      <c r="O21" s="9">
        <v>0.30509999999999998</v>
      </c>
      <c r="P21" s="9">
        <v>0.29060000000000002</v>
      </c>
      <c r="Q21" s="9">
        <v>0.27989999999999998</v>
      </c>
      <c r="R21" s="9">
        <v>0.2712</v>
      </c>
      <c r="S21" s="9">
        <v>0.23749999999999999</v>
      </c>
      <c r="T21" s="9"/>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106"/>
      <c r="AW21" s="18"/>
      <c r="AX21" s="54"/>
      <c r="AY21" s="18"/>
      <c r="AZ21" s="5"/>
      <c r="BA21" s="107"/>
    </row>
    <row r="22" spans="1:53" ht="14.5" customHeight="1" x14ac:dyDescent="0.25">
      <c r="A22" s="2">
        <v>27</v>
      </c>
      <c r="B22" s="2">
        <v>26140</v>
      </c>
      <c r="C22" s="9">
        <v>0.50409999999999999</v>
      </c>
      <c r="D22" s="10">
        <v>0.47</v>
      </c>
      <c r="E22" s="9">
        <v>0.46660000000000001</v>
      </c>
      <c r="F22" s="9">
        <v>0.47420000000000001</v>
      </c>
      <c r="G22" s="9">
        <v>0.44729999999999998</v>
      </c>
      <c r="H22" s="9">
        <v>0.42799999999999999</v>
      </c>
      <c r="I22" s="9">
        <v>0.40649999999999997</v>
      </c>
      <c r="J22" s="10">
        <v>0.38</v>
      </c>
      <c r="K22" s="9">
        <v>0.36109999999999998</v>
      </c>
      <c r="L22" s="9">
        <v>0.35360000000000003</v>
      </c>
      <c r="M22" s="9">
        <v>0.33800000000000002</v>
      </c>
      <c r="N22" s="9">
        <v>0.32219999999999999</v>
      </c>
      <c r="O22" s="9">
        <v>0.30449999999999999</v>
      </c>
      <c r="P22" s="9">
        <v>0.28949999999999998</v>
      </c>
      <c r="Q22" s="9">
        <v>0.27860000000000001</v>
      </c>
      <c r="R22" s="9">
        <v>0.26619999999999999</v>
      </c>
      <c r="S22" s="9">
        <v>0.25829999999999997</v>
      </c>
      <c r="T22" s="9">
        <v>0.22800000000000001</v>
      </c>
      <c r="U22" s="9"/>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106"/>
      <c r="AW22" s="18"/>
      <c r="AX22" s="54"/>
      <c r="AY22" s="18"/>
      <c r="AZ22" s="5"/>
      <c r="BA22" s="107"/>
    </row>
    <row r="23" spans="1:53" ht="14.5" customHeight="1" x14ac:dyDescent="0.25">
      <c r="A23" s="2">
        <v>26</v>
      </c>
      <c r="B23" s="2">
        <v>28800</v>
      </c>
      <c r="C23" s="9">
        <v>0.41849999999999998</v>
      </c>
      <c r="D23" s="9">
        <v>0.39889999999999998</v>
      </c>
      <c r="E23" s="9">
        <v>0.41089999999999999</v>
      </c>
      <c r="F23" s="9">
        <v>0.41739999999999999</v>
      </c>
      <c r="G23" s="9">
        <v>0.39739999999999998</v>
      </c>
      <c r="H23" s="9">
        <v>0.3866</v>
      </c>
      <c r="I23" s="9">
        <v>0.37259999999999999</v>
      </c>
      <c r="J23" s="9">
        <v>0.3579</v>
      </c>
      <c r="K23" s="9">
        <v>0.34200000000000003</v>
      </c>
      <c r="L23" s="9">
        <v>0.3241</v>
      </c>
      <c r="M23" s="9">
        <v>0.31690000000000002</v>
      </c>
      <c r="N23" s="9">
        <v>0.30690000000000001</v>
      </c>
      <c r="O23" s="9">
        <v>0.29270000000000002</v>
      </c>
      <c r="P23" s="9">
        <v>0.27750000000000002</v>
      </c>
      <c r="Q23" s="9">
        <v>0.2596</v>
      </c>
      <c r="R23" s="9">
        <v>0.25309999999999999</v>
      </c>
      <c r="S23" s="9">
        <v>0.24299999999999999</v>
      </c>
      <c r="T23" s="9">
        <v>0.23300000000000001</v>
      </c>
      <c r="U23" s="9">
        <v>0.20899999999999999</v>
      </c>
      <c r="V23" s="9"/>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106"/>
      <c r="AW23" s="18"/>
      <c r="AX23" s="54"/>
      <c r="AY23" s="18"/>
      <c r="AZ23" s="5"/>
      <c r="BA23" s="107"/>
    </row>
    <row r="24" spans="1:53" ht="14.5" customHeight="1" x14ac:dyDescent="0.25">
      <c r="A24" s="2">
        <v>25</v>
      </c>
      <c r="B24" s="2">
        <v>31688</v>
      </c>
      <c r="C24" s="9">
        <v>0.54339999999999999</v>
      </c>
      <c r="D24" s="9">
        <v>0.48759999999999998</v>
      </c>
      <c r="E24" s="9">
        <v>0.4713</v>
      </c>
      <c r="F24" s="9">
        <v>0.47589999999999999</v>
      </c>
      <c r="G24" s="9">
        <v>0.44529999999999997</v>
      </c>
      <c r="H24" s="9">
        <v>0.42620000000000002</v>
      </c>
      <c r="I24" s="9">
        <v>0.40870000000000001</v>
      </c>
      <c r="J24" s="9">
        <v>0.39410000000000001</v>
      </c>
      <c r="K24" s="9">
        <v>0.37690000000000001</v>
      </c>
      <c r="L24" s="9">
        <v>0.35930000000000001</v>
      </c>
      <c r="M24" s="9">
        <v>0.34260000000000002</v>
      </c>
      <c r="N24" s="9">
        <v>0.33179999999999998</v>
      </c>
      <c r="O24" s="9">
        <v>0.31979999999999997</v>
      </c>
      <c r="P24" s="9">
        <v>0.30609999999999998</v>
      </c>
      <c r="Q24" s="9">
        <v>0.2893</v>
      </c>
      <c r="R24" s="9">
        <v>0.27579999999999999</v>
      </c>
      <c r="S24" s="9">
        <v>0.26679999999999998</v>
      </c>
      <c r="T24" s="9">
        <v>0.25419999999999998</v>
      </c>
      <c r="U24" s="9">
        <v>0.25040000000000001</v>
      </c>
      <c r="V24" s="9">
        <v>0.21840000000000001</v>
      </c>
      <c r="W24" s="9"/>
      <c r="X24" s="5"/>
      <c r="Y24" s="5"/>
      <c r="Z24" s="5"/>
      <c r="AA24" s="5"/>
      <c r="AB24" s="5"/>
      <c r="AC24" s="5"/>
      <c r="AD24" s="5"/>
      <c r="AE24" s="5"/>
      <c r="AF24" s="5"/>
      <c r="AG24" s="5"/>
      <c r="AH24" s="5"/>
      <c r="AI24" s="5"/>
      <c r="AJ24" s="5"/>
      <c r="AK24" s="5"/>
      <c r="AL24" s="5"/>
      <c r="AM24" s="5"/>
      <c r="AN24" s="5"/>
      <c r="AO24" s="5"/>
      <c r="AP24" s="5"/>
      <c r="AQ24" s="5"/>
      <c r="AR24" s="5"/>
      <c r="AS24" s="5"/>
      <c r="AT24" s="5"/>
      <c r="AU24" s="5"/>
      <c r="AV24" s="106"/>
      <c r="AW24" s="18"/>
      <c r="AX24" s="54"/>
      <c r="AY24" s="18"/>
      <c r="AZ24" s="5"/>
      <c r="BA24" s="107"/>
    </row>
    <row r="25" spans="1:53" ht="14.5" customHeight="1" x14ac:dyDescent="0.25">
      <c r="A25" s="2">
        <v>24</v>
      </c>
      <c r="B25" s="2">
        <v>30330</v>
      </c>
      <c r="C25" s="9">
        <v>0.58609999999999995</v>
      </c>
      <c r="D25" s="9">
        <v>0.51359999999999995</v>
      </c>
      <c r="E25" s="9">
        <v>0.48099999999999998</v>
      </c>
      <c r="F25" s="9">
        <v>0.47249999999999998</v>
      </c>
      <c r="G25" s="9">
        <v>0.4425</v>
      </c>
      <c r="H25" s="9">
        <v>0.42120000000000002</v>
      </c>
      <c r="I25" s="9">
        <v>0.40410000000000001</v>
      </c>
      <c r="J25" s="9">
        <v>0.38900000000000001</v>
      </c>
      <c r="K25" s="9">
        <v>0.37480000000000002</v>
      </c>
      <c r="L25" s="9">
        <v>0.35820000000000002</v>
      </c>
      <c r="M25" s="9">
        <v>0.33950000000000002</v>
      </c>
      <c r="N25" s="9">
        <v>0.32179999999999997</v>
      </c>
      <c r="O25" s="9">
        <v>0.32029999999999997</v>
      </c>
      <c r="P25" s="9">
        <v>0.30759999999999998</v>
      </c>
      <c r="Q25" s="9">
        <v>0.29189999999999999</v>
      </c>
      <c r="R25" s="9">
        <v>0.27479999999999999</v>
      </c>
      <c r="S25" s="9">
        <v>0.26279999999999998</v>
      </c>
      <c r="T25" s="9">
        <v>0.2525</v>
      </c>
      <c r="U25" s="9">
        <v>0.24399999999999999</v>
      </c>
      <c r="V25" s="9">
        <v>0.23960000000000001</v>
      </c>
      <c r="W25" s="9">
        <v>0.2099</v>
      </c>
      <c r="X25" s="9"/>
      <c r="Y25" s="5"/>
      <c r="Z25" s="5"/>
      <c r="AA25" s="5"/>
      <c r="AB25" s="5"/>
      <c r="AC25" s="5"/>
      <c r="AD25" s="5"/>
      <c r="AE25" s="5"/>
      <c r="AF25" s="5"/>
      <c r="AG25" s="5"/>
      <c r="AH25" s="5"/>
      <c r="AI25" s="5"/>
      <c r="AJ25" s="5"/>
      <c r="AK25" s="5"/>
      <c r="AL25" s="5"/>
      <c r="AM25" s="5"/>
      <c r="AN25" s="5"/>
      <c r="AO25" s="5"/>
      <c r="AP25" s="5"/>
      <c r="AQ25" s="5"/>
      <c r="AR25" s="5"/>
      <c r="AS25" s="5"/>
      <c r="AT25" s="5"/>
      <c r="AU25" s="5"/>
      <c r="AV25" s="106"/>
      <c r="AW25" s="18"/>
      <c r="AX25" s="54"/>
      <c r="AY25" s="18"/>
      <c r="AZ25" s="5"/>
      <c r="BA25" s="107"/>
    </row>
    <row r="26" spans="1:53" ht="14.5" customHeight="1" x14ac:dyDescent="0.25">
      <c r="A26" s="2">
        <v>23</v>
      </c>
      <c r="B26" s="2">
        <v>24364</v>
      </c>
      <c r="C26" s="9">
        <v>0.58499999999999996</v>
      </c>
      <c r="D26" s="9">
        <v>0.53269999999999995</v>
      </c>
      <c r="E26" s="9">
        <v>0.49320000000000003</v>
      </c>
      <c r="F26" s="9">
        <v>0.46539999999999998</v>
      </c>
      <c r="G26" s="9">
        <v>0.44130000000000003</v>
      </c>
      <c r="H26" s="9">
        <v>0.42380000000000001</v>
      </c>
      <c r="I26" s="9">
        <v>0.40429999999999999</v>
      </c>
      <c r="J26" s="9">
        <v>0.38679999999999998</v>
      </c>
      <c r="K26" s="9">
        <v>0.37409999999999999</v>
      </c>
      <c r="L26" s="9">
        <v>0.36049999999999999</v>
      </c>
      <c r="M26" s="9">
        <v>0.34360000000000002</v>
      </c>
      <c r="N26" s="9">
        <v>0.32429999999999998</v>
      </c>
      <c r="O26" s="9">
        <v>0.31280000000000002</v>
      </c>
      <c r="P26" s="9">
        <v>0.30609999999999998</v>
      </c>
      <c r="Q26" s="9">
        <v>0.29149999999999998</v>
      </c>
      <c r="R26" s="9">
        <v>0.2787</v>
      </c>
      <c r="S26" s="9">
        <v>0.26540000000000002</v>
      </c>
      <c r="T26" s="9">
        <v>0.25369999999999998</v>
      </c>
      <c r="U26" s="9">
        <v>0.24540000000000001</v>
      </c>
      <c r="V26" s="9">
        <v>0.23730000000000001</v>
      </c>
      <c r="W26" s="9">
        <v>0.2303</v>
      </c>
      <c r="X26" s="9">
        <v>0.20150000000000001</v>
      </c>
      <c r="Y26" s="9"/>
      <c r="Z26" s="5"/>
      <c r="AA26" s="5"/>
      <c r="AB26" s="5"/>
      <c r="AC26" s="5"/>
      <c r="AD26" s="5"/>
      <c r="AE26" s="5"/>
      <c r="AF26" s="5"/>
      <c r="AG26" s="5"/>
      <c r="AH26" s="5"/>
      <c r="AI26" s="5"/>
      <c r="AJ26" s="5"/>
      <c r="AK26" s="5"/>
      <c r="AL26" s="5"/>
      <c r="AM26" s="5"/>
      <c r="AN26" s="5"/>
      <c r="AO26" s="5"/>
      <c r="AP26" s="5"/>
      <c r="AQ26" s="5"/>
      <c r="AR26" s="5"/>
      <c r="AS26" s="5"/>
      <c r="AT26" s="5"/>
      <c r="AU26" s="5"/>
      <c r="AV26" s="106"/>
      <c r="AW26" s="18"/>
      <c r="AX26" s="54"/>
      <c r="AY26" s="18"/>
      <c r="AZ26" s="5"/>
      <c r="BA26" s="107"/>
    </row>
    <row r="27" spans="1:53" ht="14.5" customHeight="1" x14ac:dyDescent="0.25">
      <c r="A27" s="2">
        <v>22</v>
      </c>
      <c r="B27" s="2">
        <v>21213</v>
      </c>
      <c r="C27" s="9">
        <v>0.57099999999999995</v>
      </c>
      <c r="D27" s="9">
        <v>0.52590000000000003</v>
      </c>
      <c r="E27" s="9">
        <v>0.50170000000000003</v>
      </c>
      <c r="F27" s="9">
        <v>0.47410000000000002</v>
      </c>
      <c r="G27" s="9">
        <v>0.43780000000000002</v>
      </c>
      <c r="H27" s="9">
        <v>0.4254</v>
      </c>
      <c r="I27" s="9">
        <v>0.40410000000000001</v>
      </c>
      <c r="J27" s="9">
        <v>0.3826</v>
      </c>
      <c r="K27" s="9">
        <v>0.36799999999999999</v>
      </c>
      <c r="L27" s="9">
        <v>0.35899999999999999</v>
      </c>
      <c r="M27" s="9">
        <v>0.3458</v>
      </c>
      <c r="N27" s="9">
        <v>0.33179999999999998</v>
      </c>
      <c r="O27" s="9">
        <v>0.31040000000000001</v>
      </c>
      <c r="P27" s="9">
        <v>0.3044</v>
      </c>
      <c r="Q27" s="9">
        <v>0.29599999999999999</v>
      </c>
      <c r="R27" s="9">
        <v>0.28139999999999998</v>
      </c>
      <c r="S27" s="9">
        <v>0.27289999999999998</v>
      </c>
      <c r="T27" s="9">
        <v>0.25669999999999998</v>
      </c>
      <c r="U27" s="9">
        <v>0.2419</v>
      </c>
      <c r="V27" s="9">
        <v>0.23599999999999999</v>
      </c>
      <c r="W27" s="9">
        <v>0.22589999999999999</v>
      </c>
      <c r="X27" s="9">
        <v>0.223</v>
      </c>
      <c r="Y27" s="9">
        <v>0.19789999999999999</v>
      </c>
      <c r="Z27" s="9"/>
      <c r="AA27" s="5"/>
      <c r="AB27" s="5"/>
      <c r="AC27" s="5"/>
      <c r="AD27" s="5"/>
      <c r="AE27" s="5"/>
      <c r="AF27" s="5"/>
      <c r="AG27" s="5"/>
      <c r="AH27" s="5"/>
      <c r="AI27" s="5"/>
      <c r="AJ27" s="5"/>
      <c r="AK27" s="5"/>
      <c r="AL27" s="5"/>
      <c r="AM27" s="5"/>
      <c r="AN27" s="5"/>
      <c r="AO27" s="5"/>
      <c r="AP27" s="5"/>
      <c r="AQ27" s="5"/>
      <c r="AR27" s="5"/>
      <c r="AS27" s="5"/>
      <c r="AT27" s="5"/>
      <c r="AU27" s="5"/>
      <c r="AV27" s="106"/>
      <c r="AW27" s="18"/>
      <c r="AX27" s="54"/>
      <c r="AY27" s="18"/>
      <c r="AZ27" s="5"/>
      <c r="BA27" s="107"/>
    </row>
    <row r="28" spans="1:53" ht="14.5" customHeight="1" x14ac:dyDescent="0.25">
      <c r="A28" s="2">
        <v>21</v>
      </c>
      <c r="B28" s="2">
        <v>24263</v>
      </c>
      <c r="C28" s="9">
        <v>0.58260000000000001</v>
      </c>
      <c r="D28" s="9">
        <v>0.53490000000000004</v>
      </c>
      <c r="E28" s="9">
        <v>0.50990000000000002</v>
      </c>
      <c r="F28" s="9">
        <v>0.48859999999999998</v>
      </c>
      <c r="G28" s="9">
        <v>0.44790000000000002</v>
      </c>
      <c r="H28" s="9">
        <v>0.42130000000000001</v>
      </c>
      <c r="I28" s="9">
        <v>0.40970000000000001</v>
      </c>
      <c r="J28" s="9">
        <v>0.38729999999999998</v>
      </c>
      <c r="K28" s="9">
        <v>0.3679</v>
      </c>
      <c r="L28" s="9">
        <v>0.35659999999999997</v>
      </c>
      <c r="M28" s="9">
        <v>0.34510000000000002</v>
      </c>
      <c r="N28" s="9">
        <v>0.33310000000000001</v>
      </c>
      <c r="O28" s="9">
        <v>0.31840000000000002</v>
      </c>
      <c r="P28" s="9">
        <v>0.30070000000000002</v>
      </c>
      <c r="Q28" s="9">
        <v>0.29120000000000001</v>
      </c>
      <c r="R28" s="9">
        <v>0.2858</v>
      </c>
      <c r="S28" s="9">
        <v>0.27729999999999999</v>
      </c>
      <c r="T28" s="9">
        <v>0.2646</v>
      </c>
      <c r="U28" s="9">
        <v>0.25140000000000001</v>
      </c>
      <c r="V28" s="9">
        <v>0.23910000000000001</v>
      </c>
      <c r="W28" s="9">
        <v>0.23300000000000001</v>
      </c>
      <c r="X28" s="9">
        <v>0.22450000000000001</v>
      </c>
      <c r="Y28" s="9">
        <v>0.21870000000000001</v>
      </c>
      <c r="Z28" s="9">
        <v>0.19089999999999999</v>
      </c>
      <c r="AA28" s="9"/>
      <c r="AB28" s="5"/>
      <c r="AC28" s="5"/>
      <c r="AD28" s="5"/>
      <c r="AE28" s="5"/>
      <c r="AF28" s="5"/>
      <c r="AG28" s="5"/>
      <c r="AH28" s="5"/>
      <c r="AI28" s="5"/>
      <c r="AJ28" s="5"/>
      <c r="AK28" s="5"/>
      <c r="AL28" s="5"/>
      <c r="AM28" s="5"/>
      <c r="AN28" s="5"/>
      <c r="AO28" s="5"/>
      <c r="AP28" s="5"/>
      <c r="AQ28" s="5"/>
      <c r="AR28" s="5"/>
      <c r="AS28" s="5"/>
      <c r="AT28" s="5"/>
      <c r="AU28" s="5"/>
      <c r="AV28" s="106"/>
      <c r="AW28" s="18"/>
      <c r="AX28" s="54"/>
      <c r="AY28" s="18"/>
      <c r="AZ28" s="5"/>
      <c r="BA28" s="107"/>
    </row>
    <row r="29" spans="1:53" ht="14.5" customHeight="1" x14ac:dyDescent="0.25">
      <c r="A29" s="2">
        <v>20</v>
      </c>
      <c r="B29" s="2">
        <v>24753</v>
      </c>
      <c r="C29" s="9">
        <v>0.61060000000000003</v>
      </c>
      <c r="D29" s="9">
        <v>0.55589999999999995</v>
      </c>
      <c r="E29" s="9">
        <v>0.53290000000000004</v>
      </c>
      <c r="F29" s="9">
        <v>0.52210000000000001</v>
      </c>
      <c r="G29" s="9">
        <v>0.48770000000000002</v>
      </c>
      <c r="H29" s="9">
        <v>0.4491</v>
      </c>
      <c r="I29" s="9">
        <v>0.42530000000000001</v>
      </c>
      <c r="J29" s="9">
        <v>0.41770000000000002</v>
      </c>
      <c r="K29" s="9">
        <v>0.39340000000000003</v>
      </c>
      <c r="L29" s="9">
        <v>0.37369999999999998</v>
      </c>
      <c r="M29" s="9">
        <v>0.36020000000000002</v>
      </c>
      <c r="N29" s="9">
        <v>0.34889999999999999</v>
      </c>
      <c r="O29" s="9">
        <v>0.33750000000000002</v>
      </c>
      <c r="P29" s="9">
        <v>0.32229999999999998</v>
      </c>
      <c r="Q29" s="9">
        <v>0.30690000000000001</v>
      </c>
      <c r="R29" s="9">
        <v>0.29239999999999999</v>
      </c>
      <c r="S29" s="9">
        <v>0.28739999999999999</v>
      </c>
      <c r="T29" s="9">
        <v>0.2767</v>
      </c>
      <c r="U29" s="9">
        <v>0.26419999999999999</v>
      </c>
      <c r="V29" s="9">
        <v>0.2535</v>
      </c>
      <c r="W29" s="9">
        <v>0.23880000000000001</v>
      </c>
      <c r="X29" s="9">
        <v>0.2301</v>
      </c>
      <c r="Y29" s="9">
        <v>0.223</v>
      </c>
      <c r="Z29" s="9">
        <v>0.2172</v>
      </c>
      <c r="AA29" s="9">
        <v>0.19139999999999999</v>
      </c>
      <c r="AB29" s="9"/>
      <c r="AC29" s="5"/>
      <c r="AD29" s="5"/>
      <c r="AE29" s="5"/>
      <c r="AF29" s="5"/>
      <c r="AG29" s="5"/>
      <c r="AH29" s="5"/>
      <c r="AI29" s="5"/>
      <c r="AJ29" s="5"/>
      <c r="AK29" s="5"/>
      <c r="AL29" s="5"/>
      <c r="AM29" s="5"/>
      <c r="AN29" s="5"/>
      <c r="AO29" s="5"/>
      <c r="AP29" s="5"/>
      <c r="AQ29" s="5"/>
      <c r="AR29" s="5"/>
      <c r="AS29" s="5"/>
      <c r="AT29" s="5"/>
      <c r="AU29" s="5"/>
      <c r="AV29" s="106"/>
      <c r="AW29" s="18"/>
      <c r="AX29" s="54"/>
      <c r="AY29" s="18"/>
      <c r="AZ29" s="5"/>
      <c r="BA29" s="107"/>
    </row>
    <row r="30" spans="1:53" ht="14.5" customHeight="1" x14ac:dyDescent="0.25">
      <c r="A30" s="2">
        <v>19</v>
      </c>
      <c r="B30" s="2">
        <v>18337</v>
      </c>
      <c r="C30" s="9">
        <v>0.5665</v>
      </c>
      <c r="D30" s="9">
        <v>0.51770000000000005</v>
      </c>
      <c r="E30" s="9">
        <v>0.50670000000000004</v>
      </c>
      <c r="F30" s="9">
        <v>0.50729999999999997</v>
      </c>
      <c r="G30" s="9">
        <v>0.47199999999999998</v>
      </c>
      <c r="H30" s="9">
        <v>0.44440000000000002</v>
      </c>
      <c r="I30" s="9">
        <v>0.41389999999999999</v>
      </c>
      <c r="J30" s="9">
        <v>0.39250000000000002</v>
      </c>
      <c r="K30" s="9">
        <v>0.38159999999999999</v>
      </c>
      <c r="L30" s="9">
        <v>0.36730000000000002</v>
      </c>
      <c r="M30" s="9">
        <v>0.34710000000000002</v>
      </c>
      <c r="N30" s="9">
        <v>0.33729999999999999</v>
      </c>
      <c r="O30" s="9">
        <v>0.32640000000000002</v>
      </c>
      <c r="P30" s="9">
        <v>0.31119999999999998</v>
      </c>
      <c r="Q30" s="9">
        <v>0.29849999999999999</v>
      </c>
      <c r="R30" s="9">
        <v>0.28610000000000002</v>
      </c>
      <c r="S30" s="9">
        <v>0.27429999999999999</v>
      </c>
      <c r="T30" s="9">
        <v>0.27260000000000001</v>
      </c>
      <c r="U30" s="9">
        <v>0.25719999999999998</v>
      </c>
      <c r="V30" s="9">
        <v>0.24940000000000001</v>
      </c>
      <c r="W30" s="9">
        <v>0.2351</v>
      </c>
      <c r="X30" s="9">
        <v>0.22220000000000001</v>
      </c>
      <c r="Y30" s="9">
        <v>0.21440000000000001</v>
      </c>
      <c r="Z30" s="9">
        <v>0.20880000000000001</v>
      </c>
      <c r="AA30" s="9">
        <v>0.19939999999999999</v>
      </c>
      <c r="AB30" s="9">
        <v>0.17680000000000001</v>
      </c>
      <c r="AC30" s="9"/>
      <c r="AD30" s="5"/>
      <c r="AE30" s="5"/>
      <c r="AF30" s="5"/>
      <c r="AG30" s="5"/>
      <c r="AH30" s="5"/>
      <c r="AI30" s="5"/>
      <c r="AJ30" s="5"/>
      <c r="AK30" s="5"/>
      <c r="AL30" s="5"/>
      <c r="AM30" s="5"/>
      <c r="AN30" s="5"/>
      <c r="AO30" s="5"/>
      <c r="AP30" s="5"/>
      <c r="AQ30" s="5"/>
      <c r="AR30" s="5"/>
      <c r="AS30" s="5"/>
      <c r="AT30" s="5"/>
      <c r="AU30" s="5"/>
      <c r="AV30" s="106"/>
      <c r="AW30" s="18"/>
      <c r="AX30" s="54"/>
      <c r="AY30" s="18"/>
      <c r="AZ30" s="5"/>
      <c r="BA30" s="107"/>
    </row>
    <row r="31" spans="1:53" ht="14.5" customHeight="1" x14ac:dyDescent="0.25">
      <c r="A31" s="2">
        <v>18</v>
      </c>
      <c r="B31" s="2">
        <v>14603</v>
      </c>
      <c r="C31" s="9">
        <v>0.53949999999999998</v>
      </c>
      <c r="D31" s="9">
        <v>0.49130000000000001</v>
      </c>
      <c r="E31" s="9">
        <v>0.45860000000000001</v>
      </c>
      <c r="F31" s="9">
        <v>0.45090000000000002</v>
      </c>
      <c r="G31" s="9">
        <v>0.41639999999999999</v>
      </c>
      <c r="H31" s="9">
        <v>0.39329999999999998</v>
      </c>
      <c r="I31" s="9">
        <v>0.37140000000000001</v>
      </c>
      <c r="J31" s="9">
        <v>0.34210000000000002</v>
      </c>
      <c r="K31" s="9">
        <v>0.32519999999999999</v>
      </c>
      <c r="L31" s="9">
        <v>0.32129999999999997</v>
      </c>
      <c r="M31" s="9">
        <v>0.30599999999999999</v>
      </c>
      <c r="N31" s="9">
        <v>0.2918</v>
      </c>
      <c r="O31" s="9">
        <v>0.27989999999999998</v>
      </c>
      <c r="P31" s="9">
        <v>0.26800000000000002</v>
      </c>
      <c r="Q31" s="9">
        <v>0.26119999999999999</v>
      </c>
      <c r="R31" s="9">
        <v>0.25480000000000003</v>
      </c>
      <c r="S31" s="9">
        <v>0.23810000000000001</v>
      </c>
      <c r="T31" s="9">
        <v>0.23019999999999999</v>
      </c>
      <c r="U31" s="9">
        <v>0.22800000000000001</v>
      </c>
      <c r="V31" s="9">
        <v>0.21790000000000001</v>
      </c>
      <c r="W31" s="9">
        <v>0.2087</v>
      </c>
      <c r="X31" s="9">
        <v>0.19980000000000001</v>
      </c>
      <c r="Y31" s="9">
        <v>0.18779999999999999</v>
      </c>
      <c r="Z31" s="9">
        <v>0.1817</v>
      </c>
      <c r="AA31" s="9">
        <v>0.17599999999999999</v>
      </c>
      <c r="AB31" s="9">
        <v>0.17069999999999999</v>
      </c>
      <c r="AC31" s="9">
        <v>0.14940000000000001</v>
      </c>
      <c r="AD31" s="9"/>
      <c r="AE31" s="5"/>
      <c r="AF31" s="5"/>
      <c r="AG31" s="5"/>
      <c r="AH31" s="5"/>
      <c r="AI31" s="5"/>
      <c r="AJ31" s="5"/>
      <c r="AK31" s="5"/>
      <c r="AL31" s="5"/>
      <c r="AM31" s="5"/>
      <c r="AN31" s="5"/>
      <c r="AO31" s="5"/>
      <c r="AP31" s="5"/>
      <c r="AQ31" s="5"/>
      <c r="AR31" s="5"/>
      <c r="AS31" s="5"/>
      <c r="AT31" s="5"/>
      <c r="AU31" s="5"/>
      <c r="AV31" s="106"/>
      <c r="AW31" s="18"/>
      <c r="AX31" s="54"/>
      <c r="AY31" s="18"/>
      <c r="AZ31" s="5"/>
      <c r="BA31" s="107"/>
    </row>
    <row r="32" spans="1:53" ht="14.5" customHeight="1" x14ac:dyDescent="0.25">
      <c r="A32" s="2">
        <v>17</v>
      </c>
      <c r="B32" s="2">
        <v>14565</v>
      </c>
      <c r="C32" s="9">
        <v>0.54859999999999998</v>
      </c>
      <c r="D32" s="9">
        <v>0.48930000000000001</v>
      </c>
      <c r="E32" s="9">
        <v>0.46439999999999998</v>
      </c>
      <c r="F32" s="9">
        <v>0.44130000000000003</v>
      </c>
      <c r="G32" s="9">
        <v>0.41210000000000002</v>
      </c>
      <c r="H32" s="9">
        <v>0.3926</v>
      </c>
      <c r="I32" s="9">
        <v>0.37890000000000001</v>
      </c>
      <c r="J32" s="9">
        <v>0.35410000000000003</v>
      </c>
      <c r="K32" s="9">
        <v>0.32550000000000001</v>
      </c>
      <c r="L32" s="9">
        <v>0.30990000000000001</v>
      </c>
      <c r="M32" s="9">
        <v>0.30520000000000003</v>
      </c>
      <c r="N32" s="9">
        <v>0.2893</v>
      </c>
      <c r="O32" s="9">
        <v>0.2787</v>
      </c>
      <c r="P32" s="9">
        <v>0.26800000000000002</v>
      </c>
      <c r="Q32" s="9">
        <v>0.25950000000000001</v>
      </c>
      <c r="R32" s="9">
        <v>0.25459999999999999</v>
      </c>
      <c r="S32" s="9">
        <v>0.2402</v>
      </c>
      <c r="T32" s="9">
        <v>0.2276</v>
      </c>
      <c r="U32" s="9">
        <v>0.22309999999999999</v>
      </c>
      <c r="V32" s="9">
        <v>0.21779999999999999</v>
      </c>
      <c r="W32" s="9">
        <v>0.20930000000000001</v>
      </c>
      <c r="X32" s="9">
        <v>0.1981</v>
      </c>
      <c r="Y32" s="9">
        <v>0.1905</v>
      </c>
      <c r="Z32" s="9">
        <v>0.183</v>
      </c>
      <c r="AA32" s="9">
        <v>0.17749999999999999</v>
      </c>
      <c r="AB32" s="9">
        <v>0.1701</v>
      </c>
      <c r="AC32" s="9">
        <v>0.16450000000000001</v>
      </c>
      <c r="AD32" s="9">
        <v>0.14130000000000001</v>
      </c>
      <c r="AE32" s="9"/>
      <c r="AF32" s="5"/>
      <c r="AG32" s="5"/>
      <c r="AH32" s="5"/>
      <c r="AI32" s="5"/>
      <c r="AJ32" s="5"/>
      <c r="AK32" s="5"/>
      <c r="AL32" s="5"/>
      <c r="AM32" s="5"/>
      <c r="AN32" s="5"/>
      <c r="AO32" s="5"/>
      <c r="AP32" s="5"/>
      <c r="AQ32" s="5"/>
      <c r="AR32" s="5"/>
      <c r="AS32" s="5"/>
      <c r="AT32" s="5"/>
      <c r="AU32" s="5"/>
      <c r="AV32" s="106"/>
      <c r="AW32" s="18"/>
      <c r="AX32" s="54"/>
      <c r="AY32" s="18"/>
      <c r="AZ32" s="5"/>
      <c r="BA32" s="107"/>
    </row>
    <row r="33" spans="1:53" ht="14.5" customHeight="1" x14ac:dyDescent="0.25">
      <c r="A33" s="2">
        <v>16</v>
      </c>
      <c r="B33" s="2">
        <v>14336</v>
      </c>
      <c r="C33" s="9">
        <v>0.55659999999999998</v>
      </c>
      <c r="D33" s="9">
        <v>0.49609999999999999</v>
      </c>
      <c r="E33" s="9">
        <v>0.4723</v>
      </c>
      <c r="F33" s="9">
        <v>0.46139999999999998</v>
      </c>
      <c r="G33" s="9">
        <v>0.41920000000000002</v>
      </c>
      <c r="H33" s="9">
        <v>0.39660000000000001</v>
      </c>
      <c r="I33" s="9">
        <v>0.38090000000000002</v>
      </c>
      <c r="J33" s="9">
        <v>0.36859999999999998</v>
      </c>
      <c r="K33" s="9">
        <v>0.3473</v>
      </c>
      <c r="L33" s="9">
        <v>0.32090000000000002</v>
      </c>
      <c r="M33" s="9">
        <v>0.30370000000000003</v>
      </c>
      <c r="N33" s="9">
        <v>0.29580000000000001</v>
      </c>
      <c r="O33" s="9">
        <v>0.28889999999999999</v>
      </c>
      <c r="P33" s="9">
        <v>0.27789999999999998</v>
      </c>
      <c r="Q33" s="9">
        <v>0.26619999999999999</v>
      </c>
      <c r="R33" s="9">
        <v>0.25729999999999997</v>
      </c>
      <c r="S33" s="9">
        <v>0.25290000000000001</v>
      </c>
      <c r="T33" s="9">
        <v>0.24010000000000001</v>
      </c>
      <c r="U33" s="9">
        <v>0.22420000000000001</v>
      </c>
      <c r="V33" s="9">
        <v>0.21510000000000001</v>
      </c>
      <c r="W33" s="9">
        <v>0.21390000000000001</v>
      </c>
      <c r="X33" s="9">
        <v>0.2074</v>
      </c>
      <c r="Y33" s="9">
        <v>0.1971</v>
      </c>
      <c r="Z33" s="9">
        <v>0.18720000000000001</v>
      </c>
      <c r="AA33" s="9">
        <v>0.17419999999999999</v>
      </c>
      <c r="AB33" s="9">
        <v>0.17030000000000001</v>
      </c>
      <c r="AC33" s="9">
        <v>0.16589999999999999</v>
      </c>
      <c r="AD33" s="9">
        <v>0.16109999999999999</v>
      </c>
      <c r="AE33" s="9">
        <v>0.1391</v>
      </c>
      <c r="AF33" s="9"/>
      <c r="AG33" s="5"/>
      <c r="AH33" s="5"/>
      <c r="AI33" s="5"/>
      <c r="AJ33" s="5"/>
      <c r="AK33" s="5"/>
      <c r="AL33" s="5"/>
      <c r="AM33" s="5"/>
      <c r="AN33" s="5"/>
      <c r="AO33" s="5"/>
      <c r="AP33" s="5"/>
      <c r="AQ33" s="5"/>
      <c r="AR33" s="5"/>
      <c r="AS33" s="5"/>
      <c r="AT33" s="5"/>
      <c r="AU33" s="5"/>
      <c r="AV33" s="106"/>
      <c r="AW33" s="18"/>
      <c r="AX33" s="54"/>
      <c r="AY33" s="18"/>
      <c r="AZ33" s="5"/>
      <c r="BA33" s="107"/>
    </row>
    <row r="34" spans="1:53" ht="14.5" customHeight="1" x14ac:dyDescent="0.25">
      <c r="A34" s="2">
        <v>15</v>
      </c>
      <c r="B34" s="2">
        <v>27968</v>
      </c>
      <c r="C34" s="9">
        <v>0.4677</v>
      </c>
      <c r="D34" s="9">
        <v>0.55089999999999995</v>
      </c>
      <c r="E34" s="9">
        <v>0.67379999999999995</v>
      </c>
      <c r="F34" s="9">
        <v>0.73919999999999997</v>
      </c>
      <c r="G34" s="9">
        <v>0.68540000000000001</v>
      </c>
      <c r="H34" s="9">
        <v>0.63349999999999995</v>
      </c>
      <c r="I34" s="9">
        <v>0.59730000000000005</v>
      </c>
      <c r="J34" s="9">
        <v>0.57399999999999995</v>
      </c>
      <c r="K34" s="9">
        <v>0.54910000000000003</v>
      </c>
      <c r="L34" s="9">
        <v>0.52290000000000003</v>
      </c>
      <c r="M34" s="9">
        <v>0.49590000000000001</v>
      </c>
      <c r="N34" s="9">
        <v>0.47589999999999999</v>
      </c>
      <c r="O34" s="9">
        <v>0.45729999999999998</v>
      </c>
      <c r="P34" s="9">
        <v>0.436</v>
      </c>
      <c r="Q34" s="9">
        <v>0.41210000000000002</v>
      </c>
      <c r="R34" s="9">
        <v>0.3987</v>
      </c>
      <c r="S34" s="9">
        <v>0.38819999999999999</v>
      </c>
      <c r="T34" s="10">
        <v>0.38</v>
      </c>
      <c r="U34" s="9">
        <v>0.36080000000000001</v>
      </c>
      <c r="V34" s="9">
        <v>0.34499999999999997</v>
      </c>
      <c r="W34" s="9">
        <v>0.3306</v>
      </c>
      <c r="X34" s="9">
        <v>0.32390000000000002</v>
      </c>
      <c r="Y34" s="9">
        <v>0.31359999999999999</v>
      </c>
      <c r="Z34" s="9">
        <v>0.30099999999999999</v>
      </c>
      <c r="AA34" s="9">
        <v>0.28739999999999999</v>
      </c>
      <c r="AB34" s="9">
        <v>0.27360000000000001</v>
      </c>
      <c r="AC34" s="9">
        <v>0.26579999999999998</v>
      </c>
      <c r="AD34" s="9">
        <v>0.25829999999999997</v>
      </c>
      <c r="AE34" s="9">
        <v>0.251</v>
      </c>
      <c r="AF34" s="9">
        <v>0.2329</v>
      </c>
      <c r="AG34" s="9"/>
      <c r="AH34" s="5"/>
      <c r="AI34" s="5"/>
      <c r="AJ34" s="5"/>
      <c r="AK34" s="5"/>
      <c r="AL34" s="5"/>
      <c r="AM34" s="5"/>
      <c r="AN34" s="5"/>
      <c r="AO34" s="5"/>
      <c r="AP34" s="5"/>
      <c r="AQ34" s="5"/>
      <c r="AR34" s="5"/>
      <c r="AS34" s="5"/>
      <c r="AT34" s="5"/>
      <c r="AU34" s="5"/>
      <c r="AV34" s="106"/>
      <c r="AW34" s="18"/>
      <c r="AX34" s="54"/>
      <c r="AY34" s="18"/>
      <c r="AZ34" s="5"/>
      <c r="BA34" s="107"/>
    </row>
    <row r="35" spans="1:53" ht="14.5" customHeight="1" x14ac:dyDescent="0.25">
      <c r="A35" s="2">
        <v>14</v>
      </c>
      <c r="B35" s="2">
        <v>14311</v>
      </c>
      <c r="C35" s="9">
        <v>0.63270000000000004</v>
      </c>
      <c r="D35" s="9">
        <v>0.57120000000000004</v>
      </c>
      <c r="E35" s="9">
        <v>0.54449999999999998</v>
      </c>
      <c r="F35" s="9">
        <v>0.53220000000000001</v>
      </c>
      <c r="G35" s="9">
        <v>0.50039999999999996</v>
      </c>
      <c r="H35" s="9">
        <v>0.4773</v>
      </c>
      <c r="I35" s="9">
        <v>0.44940000000000002</v>
      </c>
      <c r="J35" s="9">
        <v>0.4304</v>
      </c>
      <c r="K35" s="9">
        <v>0.4163</v>
      </c>
      <c r="L35" s="9">
        <v>0.40039999999999998</v>
      </c>
      <c r="M35" s="9">
        <v>0.38419999999999999</v>
      </c>
      <c r="N35" s="9">
        <v>0.3594</v>
      </c>
      <c r="O35" s="9">
        <v>0.34760000000000002</v>
      </c>
      <c r="P35" s="9">
        <v>0.33179999999999998</v>
      </c>
      <c r="Q35" s="9">
        <v>0.31879999999999997</v>
      </c>
      <c r="R35" s="9">
        <v>0.30890000000000001</v>
      </c>
      <c r="S35" s="9">
        <v>0.29949999999999999</v>
      </c>
      <c r="T35" s="9">
        <v>0.29189999999999999</v>
      </c>
      <c r="U35" s="9">
        <v>0.28510000000000002</v>
      </c>
      <c r="V35" s="9">
        <v>0.27689999999999998</v>
      </c>
      <c r="W35" s="9">
        <v>0.2606</v>
      </c>
      <c r="X35" s="9">
        <v>0.2465</v>
      </c>
      <c r="Y35" s="9">
        <v>0.247</v>
      </c>
      <c r="Z35" s="9">
        <v>0.23569999999999999</v>
      </c>
      <c r="AA35" s="9">
        <v>0.23269999999999999</v>
      </c>
      <c r="AB35" s="9">
        <v>0.21920000000000001</v>
      </c>
      <c r="AC35" s="9">
        <v>0.2107</v>
      </c>
      <c r="AD35" s="9">
        <v>0.2026</v>
      </c>
      <c r="AE35" s="9">
        <v>0.1976</v>
      </c>
      <c r="AF35" s="9">
        <v>0.1923</v>
      </c>
      <c r="AG35" s="9">
        <v>0.1724</v>
      </c>
      <c r="AH35" s="9"/>
      <c r="AI35" s="5"/>
      <c r="AJ35" s="5"/>
      <c r="AK35" s="5"/>
      <c r="AL35" s="5"/>
      <c r="AM35" s="5"/>
      <c r="AN35" s="5"/>
      <c r="AO35" s="5"/>
      <c r="AP35" s="5"/>
      <c r="AQ35" s="5"/>
      <c r="AR35" s="5"/>
      <c r="AS35" s="5"/>
      <c r="AT35" s="5"/>
      <c r="AU35" s="5"/>
      <c r="AV35" s="106"/>
      <c r="AW35" s="18"/>
      <c r="AX35" s="54"/>
      <c r="AY35" s="18"/>
      <c r="AZ35" s="5"/>
      <c r="BA35" s="107"/>
    </row>
    <row r="36" spans="1:53" ht="14.5" customHeight="1" x14ac:dyDescent="0.25">
      <c r="A36" s="2">
        <v>13</v>
      </c>
      <c r="B36" s="2">
        <v>11567</v>
      </c>
      <c r="C36" s="9">
        <v>0.60470000000000002</v>
      </c>
      <c r="D36" s="9">
        <v>0.54390000000000005</v>
      </c>
      <c r="E36" s="9">
        <v>0.50319999999999998</v>
      </c>
      <c r="F36" s="9">
        <v>0.48649999999999999</v>
      </c>
      <c r="G36" s="9">
        <v>0.45100000000000001</v>
      </c>
      <c r="H36" s="9">
        <v>0.4385</v>
      </c>
      <c r="I36" s="9">
        <v>0.41639999999999999</v>
      </c>
      <c r="J36" s="9">
        <v>0.39340000000000003</v>
      </c>
      <c r="K36" s="9">
        <v>0.37659999999999999</v>
      </c>
      <c r="L36" s="9">
        <v>0.36659999999999998</v>
      </c>
      <c r="M36" s="9">
        <v>0.35039999999999999</v>
      </c>
      <c r="N36" s="9">
        <v>0.33539999999999998</v>
      </c>
      <c r="O36" s="9">
        <v>0.31359999999999999</v>
      </c>
      <c r="P36" s="9">
        <v>0.30449999999999999</v>
      </c>
      <c r="Q36" s="9">
        <v>0.29260000000000003</v>
      </c>
      <c r="R36" s="9">
        <v>0.28349999999999997</v>
      </c>
      <c r="S36" s="9">
        <v>0.26869999999999999</v>
      </c>
      <c r="T36" s="9">
        <v>0.26069999999999999</v>
      </c>
      <c r="U36" s="9">
        <v>0.253</v>
      </c>
      <c r="V36" s="9">
        <v>0.251</v>
      </c>
      <c r="W36" s="9">
        <v>0.2417</v>
      </c>
      <c r="X36" s="9">
        <v>0.23300000000000001</v>
      </c>
      <c r="Y36" s="9">
        <v>0.2233</v>
      </c>
      <c r="Z36" s="9">
        <v>0.22209999999999999</v>
      </c>
      <c r="AA36" s="9">
        <v>0.21179999999999999</v>
      </c>
      <c r="AB36" s="9">
        <v>0.20230000000000001</v>
      </c>
      <c r="AC36" s="9">
        <v>0.19320000000000001</v>
      </c>
      <c r="AD36" s="9">
        <v>0.1867</v>
      </c>
      <c r="AE36" s="9">
        <v>0.17910000000000001</v>
      </c>
      <c r="AF36" s="9">
        <v>0.17280000000000001</v>
      </c>
      <c r="AG36" s="9">
        <v>0.1694</v>
      </c>
      <c r="AH36" s="9">
        <v>0.1464</v>
      </c>
      <c r="AI36" s="9"/>
      <c r="AJ36" s="5"/>
      <c r="AK36" s="5"/>
      <c r="AL36" s="5"/>
      <c r="AM36" s="5"/>
      <c r="AN36" s="5"/>
      <c r="AO36" s="5"/>
      <c r="AP36" s="5"/>
      <c r="AQ36" s="5"/>
      <c r="AR36" s="5"/>
      <c r="AS36" s="5"/>
      <c r="AT36" s="5"/>
      <c r="AU36" s="5"/>
      <c r="AV36" s="106"/>
      <c r="AW36" s="18"/>
      <c r="AX36" s="54"/>
      <c r="AY36" s="18"/>
      <c r="AZ36" s="5"/>
      <c r="BA36" s="107"/>
    </row>
    <row r="37" spans="1:53" ht="14.5" customHeight="1" x14ac:dyDescent="0.25">
      <c r="A37" s="2">
        <v>12</v>
      </c>
      <c r="B37" s="2">
        <v>14362</v>
      </c>
      <c r="C37" s="9">
        <v>0.48380000000000001</v>
      </c>
      <c r="D37" s="9">
        <v>0.4778</v>
      </c>
      <c r="E37" s="10">
        <v>0.45</v>
      </c>
      <c r="F37" s="9">
        <v>0.42859999999999998</v>
      </c>
      <c r="G37" s="9">
        <v>0.40129999999999999</v>
      </c>
      <c r="H37" s="9">
        <v>0.3906</v>
      </c>
      <c r="I37" s="9">
        <v>0.38550000000000001</v>
      </c>
      <c r="J37" s="9">
        <v>0.36499999999999999</v>
      </c>
      <c r="K37" s="9">
        <v>0.3483</v>
      </c>
      <c r="L37" s="9">
        <v>0.33550000000000002</v>
      </c>
      <c r="M37" s="9">
        <v>0.3286</v>
      </c>
      <c r="N37" s="9">
        <v>0.31780000000000003</v>
      </c>
      <c r="O37" s="9">
        <v>0.30520000000000003</v>
      </c>
      <c r="P37" s="9">
        <v>0.29070000000000001</v>
      </c>
      <c r="Q37" s="9">
        <v>0.2787</v>
      </c>
      <c r="R37" s="9">
        <v>0.27060000000000001</v>
      </c>
      <c r="S37" s="9">
        <v>0.25979999999999998</v>
      </c>
      <c r="T37" s="9">
        <v>0.25430000000000003</v>
      </c>
      <c r="U37" s="9">
        <v>0.24590000000000001</v>
      </c>
      <c r="V37" s="10">
        <v>0.24</v>
      </c>
      <c r="W37" s="9">
        <v>0.2346</v>
      </c>
      <c r="X37" s="9">
        <v>0.22700000000000001</v>
      </c>
      <c r="Y37" s="9">
        <v>0.21740000000000001</v>
      </c>
      <c r="Z37" s="9">
        <v>0.2097</v>
      </c>
      <c r="AA37" s="9">
        <v>0.2097</v>
      </c>
      <c r="AB37" s="9">
        <v>0.1991</v>
      </c>
      <c r="AC37" s="9">
        <v>0.1928</v>
      </c>
      <c r="AD37" s="9">
        <v>0.189</v>
      </c>
      <c r="AE37" s="9">
        <v>0.17749999999999999</v>
      </c>
      <c r="AF37" s="9">
        <v>0.1729</v>
      </c>
      <c r="AG37" s="9">
        <v>0.1656</v>
      </c>
      <c r="AH37" s="9">
        <v>0.16250000000000001</v>
      </c>
      <c r="AI37" s="9">
        <v>0.14219999999999999</v>
      </c>
      <c r="AJ37" s="9"/>
      <c r="AK37" s="5"/>
      <c r="AL37" s="5"/>
      <c r="AM37" s="5"/>
      <c r="AN37" s="5"/>
      <c r="AO37" s="5"/>
      <c r="AP37" s="5"/>
      <c r="AQ37" s="5"/>
      <c r="AR37" s="5"/>
      <c r="AS37" s="5"/>
      <c r="AT37" s="5"/>
      <c r="AU37" s="5"/>
      <c r="AV37" s="106"/>
      <c r="AW37" s="18"/>
      <c r="AX37" s="54"/>
      <c r="AY37" s="18"/>
      <c r="AZ37" s="5"/>
      <c r="BA37" s="107"/>
    </row>
    <row r="38" spans="1:53" ht="14.5" customHeight="1" x14ac:dyDescent="0.25">
      <c r="A38" s="2">
        <v>11</v>
      </c>
      <c r="B38" s="2">
        <v>18709</v>
      </c>
      <c r="C38" s="9">
        <v>0.4425</v>
      </c>
      <c r="D38" s="9">
        <v>0.36770000000000003</v>
      </c>
      <c r="E38" s="9">
        <v>0.38030000000000003</v>
      </c>
      <c r="F38" s="9">
        <v>0.37109999999999999</v>
      </c>
      <c r="G38" s="9">
        <v>0.34920000000000001</v>
      </c>
      <c r="H38" s="9">
        <v>0.33889999999999998</v>
      </c>
      <c r="I38" s="9">
        <v>0.33100000000000002</v>
      </c>
      <c r="J38" s="9">
        <v>0.3281</v>
      </c>
      <c r="K38" s="9">
        <v>0.31900000000000001</v>
      </c>
      <c r="L38" s="9">
        <v>0.30199999999999999</v>
      </c>
      <c r="M38" s="9">
        <v>0.29310000000000003</v>
      </c>
      <c r="N38" s="9">
        <v>0.28470000000000001</v>
      </c>
      <c r="O38" s="9">
        <v>0.28139999999999998</v>
      </c>
      <c r="P38" s="9">
        <v>0.26900000000000002</v>
      </c>
      <c r="Q38" s="9">
        <v>0.25890000000000002</v>
      </c>
      <c r="R38" s="9">
        <v>0.25019999999999998</v>
      </c>
      <c r="S38" s="9">
        <v>0.2404</v>
      </c>
      <c r="T38" s="9">
        <v>0.23100000000000001</v>
      </c>
      <c r="U38" s="9">
        <v>0.22750000000000001</v>
      </c>
      <c r="V38" s="9">
        <v>0.22120000000000001</v>
      </c>
      <c r="W38" s="9">
        <v>0.21579999999999999</v>
      </c>
      <c r="X38" s="9">
        <v>0.2117</v>
      </c>
      <c r="Y38" s="9">
        <v>0.2089</v>
      </c>
      <c r="Z38" s="9">
        <v>0.19819999999999999</v>
      </c>
      <c r="AA38" s="9">
        <v>0.1925</v>
      </c>
      <c r="AB38" s="9">
        <v>0.1928</v>
      </c>
      <c r="AC38" s="9">
        <v>0.18479999999999999</v>
      </c>
      <c r="AD38" s="9">
        <v>0.17760000000000001</v>
      </c>
      <c r="AE38" s="9">
        <v>0.16839999999999999</v>
      </c>
      <c r="AF38" s="9">
        <v>0.16139999999999999</v>
      </c>
      <c r="AG38" s="9">
        <v>0.15459999999999999</v>
      </c>
      <c r="AH38" s="9">
        <v>0.14929999999999999</v>
      </c>
      <c r="AI38" s="9">
        <v>0.14499999999999999</v>
      </c>
      <c r="AJ38" s="9">
        <v>0.12790000000000001</v>
      </c>
      <c r="AK38" s="9"/>
      <c r="AL38" s="5"/>
      <c r="AM38" s="5"/>
      <c r="AN38" s="5"/>
      <c r="AO38" s="5"/>
      <c r="AP38" s="5"/>
      <c r="AQ38" s="5"/>
      <c r="AR38" s="5"/>
      <c r="AS38" s="5"/>
      <c r="AT38" s="5"/>
      <c r="AU38" s="5"/>
      <c r="AV38" s="106"/>
      <c r="AW38" s="18"/>
      <c r="AX38" s="54"/>
      <c r="AY38" s="18"/>
      <c r="AZ38" s="5"/>
      <c r="BA38" s="107"/>
    </row>
    <row r="39" spans="1:53" ht="14.5" customHeight="1" x14ac:dyDescent="0.25">
      <c r="A39" s="2">
        <v>10</v>
      </c>
      <c r="B39" s="2">
        <v>21946</v>
      </c>
      <c r="C39" s="9">
        <v>0.56220000000000003</v>
      </c>
      <c r="D39" s="9">
        <v>0.51219999999999999</v>
      </c>
      <c r="E39" s="9">
        <v>0.45619999999999999</v>
      </c>
      <c r="F39" s="9">
        <v>0.4486</v>
      </c>
      <c r="G39" s="9">
        <v>0.41660000000000003</v>
      </c>
      <c r="H39" s="9">
        <v>0.40029999999999999</v>
      </c>
      <c r="I39" s="9">
        <v>0.38390000000000002</v>
      </c>
      <c r="J39" s="9">
        <v>0.37009999999999998</v>
      </c>
      <c r="K39" s="9">
        <v>0.3644</v>
      </c>
      <c r="L39" s="9">
        <v>0.34810000000000002</v>
      </c>
      <c r="M39" s="9">
        <v>0.33179999999999998</v>
      </c>
      <c r="N39" s="9">
        <v>0.31919999999999998</v>
      </c>
      <c r="O39" s="9">
        <v>0.31230000000000002</v>
      </c>
      <c r="P39" s="9">
        <v>0.30120000000000002</v>
      </c>
      <c r="Q39" s="9">
        <v>0.29220000000000002</v>
      </c>
      <c r="R39" s="9">
        <v>0.27960000000000002</v>
      </c>
      <c r="S39" s="9">
        <v>0.26429999999999998</v>
      </c>
      <c r="T39" s="9">
        <v>0.25790000000000002</v>
      </c>
      <c r="U39" s="9">
        <v>0.253</v>
      </c>
      <c r="V39" s="9">
        <v>0.24410000000000001</v>
      </c>
      <c r="W39" s="9">
        <v>0.2382</v>
      </c>
      <c r="X39" s="9">
        <v>0.2341</v>
      </c>
      <c r="Y39" s="9">
        <v>0.2303</v>
      </c>
      <c r="Z39" s="9">
        <v>0.22309999999999999</v>
      </c>
      <c r="AA39" s="9">
        <v>0.21240000000000001</v>
      </c>
      <c r="AB39" s="9">
        <v>0.20480000000000001</v>
      </c>
      <c r="AC39" s="9">
        <v>0.20150000000000001</v>
      </c>
      <c r="AD39" s="9">
        <v>0.19739999999999999</v>
      </c>
      <c r="AE39" s="9">
        <v>0.18890000000000001</v>
      </c>
      <c r="AF39" s="9">
        <v>0.18279999999999999</v>
      </c>
      <c r="AG39" s="9">
        <v>0.17150000000000001</v>
      </c>
      <c r="AH39" s="9">
        <v>0.1663</v>
      </c>
      <c r="AI39" s="9">
        <v>0.16020000000000001</v>
      </c>
      <c r="AJ39" s="9">
        <v>0.15809999999999999</v>
      </c>
      <c r="AK39" s="9">
        <v>0.1328</v>
      </c>
      <c r="AL39" s="9"/>
      <c r="AM39" s="5"/>
      <c r="AN39" s="5"/>
      <c r="AO39" s="5"/>
      <c r="AP39" s="5"/>
      <c r="AQ39" s="5"/>
      <c r="AR39" s="5"/>
      <c r="AS39" s="5"/>
      <c r="AT39" s="5"/>
      <c r="AU39" s="5"/>
      <c r="AV39" s="106"/>
      <c r="AW39" s="18"/>
      <c r="AX39" s="54"/>
      <c r="AY39" s="18"/>
      <c r="AZ39" s="5"/>
      <c r="BA39" s="107"/>
    </row>
    <row r="40" spans="1:53" ht="14.5" customHeight="1" x14ac:dyDescent="0.25">
      <c r="A40" s="2">
        <v>9</v>
      </c>
      <c r="B40" s="2">
        <v>13502</v>
      </c>
      <c r="C40" s="9">
        <v>0.66059999999999997</v>
      </c>
      <c r="D40" s="9">
        <v>0.57389999999999997</v>
      </c>
      <c r="E40" s="9">
        <v>0.53839999999999999</v>
      </c>
      <c r="F40" s="9">
        <v>0.49790000000000001</v>
      </c>
      <c r="G40" s="9">
        <v>0.46450000000000002</v>
      </c>
      <c r="H40" s="9">
        <v>0.4461</v>
      </c>
      <c r="I40" s="9">
        <v>0.4229</v>
      </c>
      <c r="J40" s="9">
        <v>0.40350000000000003</v>
      </c>
      <c r="K40" s="9">
        <v>0.3866</v>
      </c>
      <c r="L40" s="9">
        <v>0.3856</v>
      </c>
      <c r="M40" s="9">
        <v>0.36420000000000002</v>
      </c>
      <c r="N40" s="9">
        <v>0.34339999999999998</v>
      </c>
      <c r="O40" s="9">
        <v>0.33900000000000002</v>
      </c>
      <c r="P40" s="9">
        <v>0.32369999999999999</v>
      </c>
      <c r="Q40" s="9">
        <v>0.31680000000000003</v>
      </c>
      <c r="R40" s="9">
        <v>0.3024</v>
      </c>
      <c r="S40" s="9">
        <v>0.28949999999999998</v>
      </c>
      <c r="T40" s="9">
        <v>0.27739999999999998</v>
      </c>
      <c r="U40" s="9">
        <v>0.2651</v>
      </c>
      <c r="V40" s="9">
        <v>0.26119999999999999</v>
      </c>
      <c r="W40" s="9">
        <v>0.25769999999999998</v>
      </c>
      <c r="X40" s="10">
        <v>0.25</v>
      </c>
      <c r="Y40" s="9">
        <v>0.24779999999999999</v>
      </c>
      <c r="Z40" s="9">
        <v>0.24460000000000001</v>
      </c>
      <c r="AA40" s="9">
        <v>0.23269999999999999</v>
      </c>
      <c r="AB40" s="9">
        <v>0.2271</v>
      </c>
      <c r="AC40" s="9">
        <v>0.22059999999999999</v>
      </c>
      <c r="AD40" s="9">
        <v>0.21379999999999999</v>
      </c>
      <c r="AE40" s="9">
        <v>0.2092</v>
      </c>
      <c r="AF40" s="9">
        <v>0.20319999999999999</v>
      </c>
      <c r="AG40" s="9">
        <v>0.192</v>
      </c>
      <c r="AH40" s="9">
        <v>0.17949999999999999</v>
      </c>
      <c r="AI40" s="9">
        <v>0.17349999999999999</v>
      </c>
      <c r="AJ40" s="9">
        <v>0.17180000000000001</v>
      </c>
      <c r="AK40" s="9">
        <v>0.1673</v>
      </c>
      <c r="AL40" s="9">
        <v>0.1459</v>
      </c>
      <c r="AM40" s="9"/>
      <c r="AN40" s="5"/>
      <c r="AO40" s="5"/>
      <c r="AP40" s="5"/>
      <c r="AQ40" s="5"/>
      <c r="AR40" s="5"/>
      <c r="AS40" s="5"/>
      <c r="AT40" s="5"/>
      <c r="AU40" s="5"/>
      <c r="AV40" s="106"/>
      <c r="AW40" s="18"/>
      <c r="AX40" s="54"/>
      <c r="AY40" s="18"/>
      <c r="AZ40" s="5"/>
      <c r="BA40" s="107"/>
    </row>
    <row r="41" spans="1:53" ht="14.5" customHeight="1" x14ac:dyDescent="0.25">
      <c r="A41" s="2">
        <v>8</v>
      </c>
      <c r="B41" s="2">
        <v>13102</v>
      </c>
      <c r="C41" s="9">
        <v>0.6361</v>
      </c>
      <c r="D41" s="9">
        <v>0.61960000000000004</v>
      </c>
      <c r="E41" s="9">
        <v>0.55720000000000003</v>
      </c>
      <c r="F41" s="9">
        <v>0.53239999999999998</v>
      </c>
      <c r="G41" s="9">
        <v>0.4824</v>
      </c>
      <c r="H41" s="9">
        <v>0.46489999999999998</v>
      </c>
      <c r="I41" s="9">
        <v>0.43759999999999999</v>
      </c>
      <c r="J41" s="9">
        <v>0.42270000000000002</v>
      </c>
      <c r="K41" s="9">
        <v>0.40550000000000003</v>
      </c>
      <c r="L41" s="9">
        <v>0.38990000000000002</v>
      </c>
      <c r="M41" s="9">
        <v>0.38429999999999997</v>
      </c>
      <c r="N41" s="9">
        <v>0.37030000000000002</v>
      </c>
      <c r="O41" s="9">
        <v>0.34860000000000002</v>
      </c>
      <c r="P41" s="9">
        <v>0.33750000000000002</v>
      </c>
      <c r="Q41" s="9">
        <v>0.3261</v>
      </c>
      <c r="R41" s="9">
        <v>0.31869999999999998</v>
      </c>
      <c r="S41" s="9">
        <v>0.3105</v>
      </c>
      <c r="T41" s="9">
        <v>0.29199999999999998</v>
      </c>
      <c r="U41" s="9">
        <v>0.28220000000000001</v>
      </c>
      <c r="V41" s="9">
        <v>0.27550000000000002</v>
      </c>
      <c r="W41" s="9">
        <v>0.27150000000000002</v>
      </c>
      <c r="X41" s="9">
        <v>0.26219999999999999</v>
      </c>
      <c r="Y41" s="9">
        <v>0.2571</v>
      </c>
      <c r="Z41" s="9">
        <v>0.25280000000000002</v>
      </c>
      <c r="AA41" s="9">
        <v>0.24779999999999999</v>
      </c>
      <c r="AB41" s="9">
        <v>0.23680000000000001</v>
      </c>
      <c r="AC41" s="9">
        <v>0.22889999999999999</v>
      </c>
      <c r="AD41" s="9">
        <v>0.21940000000000001</v>
      </c>
      <c r="AE41" s="9">
        <v>0.217</v>
      </c>
      <c r="AF41" s="9">
        <v>0.21299999999999999</v>
      </c>
      <c r="AG41" s="9">
        <v>0.20150000000000001</v>
      </c>
      <c r="AH41" s="9">
        <v>0.1961</v>
      </c>
      <c r="AI41" s="9">
        <v>0.1847</v>
      </c>
      <c r="AJ41" s="9">
        <v>0.1774</v>
      </c>
      <c r="AK41" s="9">
        <v>0.1696</v>
      </c>
      <c r="AL41" s="9">
        <v>0.16719999999999999</v>
      </c>
      <c r="AM41" s="9">
        <v>0.14699999999999999</v>
      </c>
      <c r="AN41" s="9"/>
      <c r="AO41" s="5"/>
      <c r="AP41" s="5"/>
      <c r="AQ41" s="5"/>
      <c r="AR41" s="5"/>
      <c r="AS41" s="5"/>
      <c r="AT41" s="5"/>
      <c r="AU41" s="5"/>
      <c r="AV41" s="106"/>
      <c r="AW41" s="18"/>
      <c r="AX41" s="54"/>
      <c r="AY41" s="18"/>
      <c r="AZ41" s="5"/>
      <c r="BA41" s="107"/>
    </row>
    <row r="42" spans="1:53" ht="14.5" customHeight="1" x14ac:dyDescent="0.25">
      <c r="A42" s="2">
        <v>7</v>
      </c>
      <c r="B42" s="2">
        <v>13354</v>
      </c>
      <c r="C42" s="9">
        <v>0.62329999999999997</v>
      </c>
      <c r="D42" s="9">
        <v>0.57669999999999999</v>
      </c>
      <c r="E42" s="9">
        <v>0.57709999999999995</v>
      </c>
      <c r="F42" s="9">
        <v>0.51929999999999998</v>
      </c>
      <c r="G42" s="9">
        <v>0.48070000000000002</v>
      </c>
      <c r="H42" s="10">
        <v>0.45</v>
      </c>
      <c r="I42" s="9">
        <v>0.43340000000000001</v>
      </c>
      <c r="J42" s="9">
        <v>0.41070000000000001</v>
      </c>
      <c r="K42" s="9">
        <v>0.38979999999999998</v>
      </c>
      <c r="L42" s="9">
        <v>0.37619999999999998</v>
      </c>
      <c r="M42" s="9">
        <v>0.36330000000000001</v>
      </c>
      <c r="N42" s="9">
        <v>0.3569</v>
      </c>
      <c r="O42" s="9">
        <v>0.34470000000000001</v>
      </c>
      <c r="P42" s="9">
        <v>0.32619999999999999</v>
      </c>
      <c r="Q42" s="9">
        <v>0.31879999999999997</v>
      </c>
      <c r="R42" s="9">
        <v>0.31159999999999999</v>
      </c>
      <c r="S42" s="9">
        <v>0.29770000000000002</v>
      </c>
      <c r="T42" s="9">
        <v>0.29070000000000001</v>
      </c>
      <c r="U42" s="9">
        <v>0.2737</v>
      </c>
      <c r="V42" s="9">
        <v>0.26879999999999998</v>
      </c>
      <c r="W42" s="9">
        <v>0.25890000000000002</v>
      </c>
      <c r="X42" s="9">
        <v>0.25769999999999998</v>
      </c>
      <c r="Y42" s="9">
        <v>0.24879999999999999</v>
      </c>
      <c r="Z42" s="9">
        <v>0.24590000000000001</v>
      </c>
      <c r="AA42" s="9">
        <v>0.23949999999999999</v>
      </c>
      <c r="AB42" s="9">
        <v>0.23319999999999999</v>
      </c>
      <c r="AC42" s="10">
        <v>0.23</v>
      </c>
      <c r="AD42" s="9">
        <v>0.2195</v>
      </c>
      <c r="AE42" s="9">
        <v>0.2097</v>
      </c>
      <c r="AF42" s="9">
        <v>0.20580000000000001</v>
      </c>
      <c r="AG42" s="9">
        <v>0.19969999999999999</v>
      </c>
      <c r="AH42" s="9">
        <v>0.19139999999999999</v>
      </c>
      <c r="AI42" s="9">
        <v>0.17979999999999999</v>
      </c>
      <c r="AJ42" s="9">
        <v>0.17180000000000001</v>
      </c>
      <c r="AK42" s="9">
        <v>0.1714</v>
      </c>
      <c r="AL42" s="9">
        <v>0.16309999999999999</v>
      </c>
      <c r="AM42" s="9">
        <v>0.16209999999999999</v>
      </c>
      <c r="AN42" s="9">
        <v>0.1424</v>
      </c>
      <c r="AO42" s="9"/>
      <c r="AP42" s="5"/>
      <c r="AQ42" s="5"/>
      <c r="AR42" s="5"/>
      <c r="AS42" s="5"/>
      <c r="AT42" s="5"/>
      <c r="AU42" s="5"/>
      <c r="AV42" s="106"/>
      <c r="AW42" s="18"/>
      <c r="AX42" s="54"/>
      <c r="AY42" s="18"/>
      <c r="AZ42" s="5"/>
      <c r="BA42" s="107"/>
    </row>
    <row r="43" spans="1:53" ht="14.5" customHeight="1" x14ac:dyDescent="0.25">
      <c r="A43" s="2">
        <v>6</v>
      </c>
      <c r="B43" s="2">
        <v>14051</v>
      </c>
      <c r="C43" s="9">
        <v>0.61050000000000004</v>
      </c>
      <c r="D43" s="9">
        <v>0.5605</v>
      </c>
      <c r="E43" s="9">
        <v>0.53269999999999995</v>
      </c>
      <c r="F43" s="9">
        <v>0.53879999999999995</v>
      </c>
      <c r="G43" s="9">
        <v>0.4874</v>
      </c>
      <c r="H43" s="9">
        <v>0.45850000000000002</v>
      </c>
      <c r="I43" s="9">
        <v>0.42920000000000003</v>
      </c>
      <c r="J43" s="9">
        <v>0.40770000000000001</v>
      </c>
      <c r="K43" s="9">
        <v>0.39019999999999999</v>
      </c>
      <c r="L43" s="9">
        <v>0.36940000000000001</v>
      </c>
      <c r="M43" s="9">
        <v>0.3614</v>
      </c>
      <c r="N43" s="9">
        <v>0.34739999999999999</v>
      </c>
      <c r="O43" s="9">
        <v>0.34620000000000001</v>
      </c>
      <c r="P43" s="9">
        <v>0.32869999999999999</v>
      </c>
      <c r="Q43" s="9">
        <v>0.31340000000000001</v>
      </c>
      <c r="R43" s="9">
        <v>0.30509999999999998</v>
      </c>
      <c r="S43" s="9">
        <v>0.30080000000000001</v>
      </c>
      <c r="T43" s="9">
        <v>0.28760000000000002</v>
      </c>
      <c r="U43" s="9">
        <v>0.27829999999999999</v>
      </c>
      <c r="V43" s="9">
        <v>0.26469999999999999</v>
      </c>
      <c r="W43" s="9">
        <v>0.25940000000000002</v>
      </c>
      <c r="X43" s="9">
        <v>0.25190000000000001</v>
      </c>
      <c r="Y43" s="9">
        <v>0.24510000000000001</v>
      </c>
      <c r="Z43" s="9">
        <v>0.24399999999999999</v>
      </c>
      <c r="AA43" s="9">
        <v>0.24179999999999999</v>
      </c>
      <c r="AB43" s="9">
        <v>0.2354</v>
      </c>
      <c r="AC43" s="9">
        <v>0.22939999999999999</v>
      </c>
      <c r="AD43" s="9">
        <v>0.22650000000000001</v>
      </c>
      <c r="AE43" s="9">
        <v>0.21560000000000001</v>
      </c>
      <c r="AF43" s="9">
        <v>0.21179999999999999</v>
      </c>
      <c r="AG43" s="9">
        <v>0.20760000000000001</v>
      </c>
      <c r="AH43" s="9">
        <v>0.20180000000000001</v>
      </c>
      <c r="AI43" s="9">
        <v>0.19309999999999999</v>
      </c>
      <c r="AJ43" s="9">
        <v>0.1862</v>
      </c>
      <c r="AK43" s="9">
        <v>0.17929999999999999</v>
      </c>
      <c r="AL43" s="9">
        <v>0.17369999999999999</v>
      </c>
      <c r="AM43" s="9">
        <v>0.17169999999999999</v>
      </c>
      <c r="AN43" s="9">
        <v>0.16919999999999999</v>
      </c>
      <c r="AO43" s="9">
        <v>0.1454</v>
      </c>
      <c r="AP43" s="9"/>
      <c r="AQ43" s="5"/>
      <c r="AR43" s="5"/>
      <c r="AS43" s="5"/>
      <c r="AT43" s="5"/>
      <c r="AU43" s="5"/>
      <c r="AV43" s="106"/>
      <c r="AW43" s="18"/>
      <c r="AX43" s="54"/>
      <c r="AY43" s="18"/>
      <c r="AZ43" s="5"/>
      <c r="BA43" s="107"/>
    </row>
    <row r="44" spans="1:53" ht="14.5" customHeight="1" x14ac:dyDescent="0.25">
      <c r="A44" s="2">
        <v>5</v>
      </c>
      <c r="B44" s="2">
        <v>17739</v>
      </c>
      <c r="C44" s="9">
        <v>0.62380000000000002</v>
      </c>
      <c r="D44" s="9">
        <v>0.56699999999999995</v>
      </c>
      <c r="E44" s="9">
        <v>0.53239999999999998</v>
      </c>
      <c r="F44" s="9">
        <v>0.50839999999999996</v>
      </c>
      <c r="G44" s="9">
        <v>0.51160000000000005</v>
      </c>
      <c r="H44" s="9">
        <v>0.46460000000000001</v>
      </c>
      <c r="I44" s="9">
        <v>0.44379999999999997</v>
      </c>
      <c r="J44" s="9">
        <v>0.41420000000000001</v>
      </c>
      <c r="K44" s="9">
        <v>0.39529999999999998</v>
      </c>
      <c r="L44" s="9">
        <v>0.37580000000000002</v>
      </c>
      <c r="M44" s="9">
        <v>0.35909999999999997</v>
      </c>
      <c r="N44" s="9">
        <v>0.3528</v>
      </c>
      <c r="O44" s="9">
        <v>0.33779999999999999</v>
      </c>
      <c r="P44" s="9">
        <v>0.33560000000000001</v>
      </c>
      <c r="Q44" s="9">
        <v>0.3236</v>
      </c>
      <c r="R44" s="9">
        <v>0.31019999999999998</v>
      </c>
      <c r="S44" s="9">
        <v>0.29759999999999998</v>
      </c>
      <c r="T44" s="9">
        <v>0.28539999999999999</v>
      </c>
      <c r="U44" s="9">
        <v>0.28249999999999997</v>
      </c>
      <c r="V44" s="9">
        <v>0.27660000000000001</v>
      </c>
      <c r="W44" s="9">
        <v>0.26619999999999999</v>
      </c>
      <c r="X44" s="9">
        <v>0.25590000000000002</v>
      </c>
      <c r="Y44" s="9">
        <v>0.24690000000000001</v>
      </c>
      <c r="Z44" s="9">
        <v>0.24360000000000001</v>
      </c>
      <c r="AA44" s="9">
        <v>0.2364</v>
      </c>
      <c r="AB44" s="9">
        <v>0.23089999999999999</v>
      </c>
      <c r="AC44" s="9">
        <v>0.22939999999999999</v>
      </c>
      <c r="AD44" s="9">
        <v>0.22570000000000001</v>
      </c>
      <c r="AE44" s="9">
        <v>0.21460000000000001</v>
      </c>
      <c r="AF44" s="9">
        <v>0.2084</v>
      </c>
      <c r="AG44" s="9">
        <v>0.20150000000000001</v>
      </c>
      <c r="AH44" s="9">
        <v>0.19939999999999999</v>
      </c>
      <c r="AI44" s="9">
        <v>0.19500000000000001</v>
      </c>
      <c r="AJ44" s="9">
        <v>0.185</v>
      </c>
      <c r="AK44" s="9">
        <v>0.17860000000000001</v>
      </c>
      <c r="AL44" s="9">
        <v>0.1724</v>
      </c>
      <c r="AM44" s="9">
        <v>0.16489999999999999</v>
      </c>
      <c r="AN44" s="9">
        <v>0.161</v>
      </c>
      <c r="AO44" s="9">
        <v>0.156</v>
      </c>
      <c r="AP44" s="9">
        <v>0.14180000000000001</v>
      </c>
      <c r="AQ44" s="9"/>
      <c r="AR44" s="5"/>
      <c r="AS44" s="5"/>
      <c r="AT44" s="5"/>
      <c r="AU44" s="5"/>
      <c r="AV44" s="106"/>
      <c r="AW44" s="18"/>
      <c r="AX44" s="54"/>
      <c r="AY44" s="18"/>
      <c r="AZ44" s="5"/>
      <c r="BA44" s="107"/>
    </row>
    <row r="45" spans="1:53" ht="14.5" customHeight="1" x14ac:dyDescent="0.25">
      <c r="A45" s="2">
        <v>4</v>
      </c>
      <c r="B45" s="2">
        <v>18451</v>
      </c>
      <c r="C45" s="9">
        <v>0.63670000000000004</v>
      </c>
      <c r="D45" s="9">
        <v>0.58079999999999998</v>
      </c>
      <c r="E45" s="9">
        <v>0.54090000000000005</v>
      </c>
      <c r="F45" s="9">
        <v>0.51359999999999995</v>
      </c>
      <c r="G45" s="9">
        <v>0.4899</v>
      </c>
      <c r="H45" s="9">
        <v>0.50260000000000005</v>
      </c>
      <c r="I45" s="9">
        <v>0.4632</v>
      </c>
      <c r="J45" s="9">
        <v>0.4375</v>
      </c>
      <c r="K45" s="9">
        <v>0.4108</v>
      </c>
      <c r="L45" s="9">
        <v>0.39500000000000002</v>
      </c>
      <c r="M45" s="9">
        <v>0.37880000000000003</v>
      </c>
      <c r="N45" s="9">
        <v>0.36320000000000002</v>
      </c>
      <c r="O45" s="9">
        <v>0.3503</v>
      </c>
      <c r="P45" s="9">
        <v>0.33860000000000001</v>
      </c>
      <c r="Q45" s="9">
        <v>0.33360000000000001</v>
      </c>
      <c r="R45" s="9">
        <v>0.31990000000000002</v>
      </c>
      <c r="S45" s="9">
        <v>0.30669999999999997</v>
      </c>
      <c r="T45" s="9">
        <v>0.29470000000000002</v>
      </c>
      <c r="U45" s="9">
        <v>0.2868</v>
      </c>
      <c r="V45" s="9">
        <v>0.28449999999999998</v>
      </c>
      <c r="W45" s="9">
        <v>0.27739999999999998</v>
      </c>
      <c r="X45" s="9">
        <v>0.26350000000000001</v>
      </c>
      <c r="Y45" s="9">
        <v>0.25580000000000003</v>
      </c>
      <c r="Z45" s="9">
        <v>0.24729999999999999</v>
      </c>
      <c r="AA45" s="9">
        <v>0.24429999999999999</v>
      </c>
      <c r="AB45" s="9">
        <v>0.2346</v>
      </c>
      <c r="AC45" s="9">
        <v>0.22969999999999999</v>
      </c>
      <c r="AD45" s="9">
        <v>0.22470000000000001</v>
      </c>
      <c r="AE45" s="9">
        <v>0.22159999999999999</v>
      </c>
      <c r="AF45" s="9">
        <v>0.21190000000000001</v>
      </c>
      <c r="AG45" s="9">
        <v>0.20480000000000001</v>
      </c>
      <c r="AH45" s="9">
        <v>0.19769999999999999</v>
      </c>
      <c r="AI45" s="9">
        <v>0.1951</v>
      </c>
      <c r="AJ45" s="9">
        <v>0.1875</v>
      </c>
      <c r="AK45" s="9">
        <v>0.1825</v>
      </c>
      <c r="AL45" s="9">
        <v>0.1769</v>
      </c>
      <c r="AM45" s="9">
        <v>0.16889999999999999</v>
      </c>
      <c r="AN45" s="9">
        <v>0.16589999999999999</v>
      </c>
      <c r="AO45" s="9">
        <v>0.1593</v>
      </c>
      <c r="AP45" s="9">
        <v>0.15329999999999999</v>
      </c>
      <c r="AQ45" s="9">
        <v>0.13289999999999999</v>
      </c>
      <c r="AR45" s="9"/>
      <c r="AS45" s="5"/>
      <c r="AT45" s="5"/>
      <c r="AU45" s="5"/>
      <c r="AV45" s="106"/>
      <c r="AW45" s="18"/>
      <c r="AX45" s="54"/>
      <c r="AY45" s="18"/>
      <c r="AZ45" s="5"/>
      <c r="BA45" s="107"/>
    </row>
    <row r="46" spans="1:53" ht="14.5" customHeight="1" x14ac:dyDescent="0.25">
      <c r="A46" s="2">
        <v>3</v>
      </c>
      <c r="B46" s="2">
        <v>17045</v>
      </c>
      <c r="C46" s="9">
        <v>0.63119999999999998</v>
      </c>
      <c r="D46" s="9">
        <v>0.57979999999999998</v>
      </c>
      <c r="E46" s="9">
        <v>0.54220000000000002</v>
      </c>
      <c r="F46" s="9">
        <v>0.50990000000000002</v>
      </c>
      <c r="G46" s="9">
        <v>0.48720000000000002</v>
      </c>
      <c r="H46" s="9">
        <v>0.47439999999999999</v>
      </c>
      <c r="I46" s="9">
        <v>0.48499999999999999</v>
      </c>
      <c r="J46" s="9">
        <v>0.44180000000000003</v>
      </c>
      <c r="K46" s="9">
        <v>0.42449999999999999</v>
      </c>
      <c r="L46" s="9">
        <v>0.3947</v>
      </c>
      <c r="M46" s="9">
        <v>0.38450000000000001</v>
      </c>
      <c r="N46" s="9">
        <v>0.36570000000000003</v>
      </c>
      <c r="O46" s="9">
        <v>0.35060000000000002</v>
      </c>
      <c r="P46" s="9">
        <v>0.33889999999999998</v>
      </c>
      <c r="Q46" s="9">
        <v>0.33019999999999999</v>
      </c>
      <c r="R46" s="9">
        <v>0.3241</v>
      </c>
      <c r="S46" s="9">
        <v>0.31069999999999998</v>
      </c>
      <c r="T46" s="9">
        <v>0.29549999999999998</v>
      </c>
      <c r="U46" s="9">
        <v>0.28799999999999998</v>
      </c>
      <c r="V46" s="9">
        <v>0.2858</v>
      </c>
      <c r="W46" s="9">
        <v>0.27729999999999999</v>
      </c>
      <c r="X46" s="9">
        <v>0.26750000000000002</v>
      </c>
      <c r="Y46" s="9">
        <v>0.25940000000000002</v>
      </c>
      <c r="Z46" s="9">
        <v>0.24640000000000001</v>
      </c>
      <c r="AA46" s="9">
        <v>0.2384</v>
      </c>
      <c r="AB46" s="9">
        <v>0.23669999999999999</v>
      </c>
      <c r="AC46" s="9">
        <v>0.23300000000000001</v>
      </c>
      <c r="AD46" s="9">
        <v>0.2293</v>
      </c>
      <c r="AE46" s="9">
        <v>0.2238</v>
      </c>
      <c r="AF46" s="9">
        <v>0.21990000000000001</v>
      </c>
      <c r="AG46" s="9">
        <v>0.2097</v>
      </c>
      <c r="AH46" s="9">
        <v>0.2019</v>
      </c>
      <c r="AI46" s="9">
        <v>0.19450000000000001</v>
      </c>
      <c r="AJ46" s="9">
        <v>0.19009999999999999</v>
      </c>
      <c r="AK46" s="9">
        <v>0.1842</v>
      </c>
      <c r="AL46" s="9">
        <v>0.1802</v>
      </c>
      <c r="AM46" s="9">
        <v>0.1769</v>
      </c>
      <c r="AN46" s="9">
        <v>0.16800000000000001</v>
      </c>
      <c r="AO46" s="9">
        <v>0.16159999999999999</v>
      </c>
      <c r="AP46" s="9">
        <v>0.15459999999999999</v>
      </c>
      <c r="AQ46" s="9">
        <v>0.14979999999999999</v>
      </c>
      <c r="AR46" s="9">
        <v>0.1318</v>
      </c>
      <c r="AS46" s="9"/>
      <c r="AT46" s="5"/>
      <c r="AU46" s="5"/>
      <c r="AV46" s="106"/>
      <c r="AW46" s="18"/>
      <c r="AX46" s="54"/>
      <c r="AY46" s="18"/>
      <c r="BA46" s="107"/>
    </row>
    <row r="47" spans="1:53" ht="14.5" customHeight="1" x14ac:dyDescent="0.25">
      <c r="A47" s="2">
        <v>2</v>
      </c>
      <c r="B47" s="2">
        <v>15828</v>
      </c>
      <c r="C47" s="9">
        <v>0.62670000000000003</v>
      </c>
      <c r="D47" s="9">
        <v>0.56799999999999995</v>
      </c>
      <c r="E47" s="9">
        <v>0.53420000000000001</v>
      </c>
      <c r="F47" s="9">
        <v>0.50329999999999997</v>
      </c>
      <c r="G47" s="9">
        <v>0.4738</v>
      </c>
      <c r="H47" s="9">
        <v>0.45350000000000001</v>
      </c>
      <c r="I47" s="9">
        <v>0.43930000000000002</v>
      </c>
      <c r="J47" s="9">
        <v>0.45019999999999999</v>
      </c>
      <c r="K47" s="9">
        <v>0.41610000000000003</v>
      </c>
      <c r="L47" s="9">
        <v>0.39950000000000002</v>
      </c>
      <c r="M47" s="9">
        <v>0.37169999999999997</v>
      </c>
      <c r="N47" s="9">
        <v>0.3594</v>
      </c>
      <c r="O47" s="9">
        <v>0.34379999999999999</v>
      </c>
      <c r="P47" s="9">
        <v>0.33079999999999998</v>
      </c>
      <c r="Q47" s="9">
        <v>0.32640000000000002</v>
      </c>
      <c r="R47" s="9">
        <v>0.31490000000000001</v>
      </c>
      <c r="S47" s="9">
        <v>0.3095</v>
      </c>
      <c r="T47" s="10">
        <v>0.3</v>
      </c>
      <c r="U47" s="9">
        <v>0.28560000000000002</v>
      </c>
      <c r="V47" s="9">
        <v>0.28110000000000002</v>
      </c>
      <c r="W47" s="9">
        <v>0.27510000000000001</v>
      </c>
      <c r="X47" s="9">
        <v>0.27260000000000001</v>
      </c>
      <c r="Y47" s="9">
        <v>0.26490000000000002</v>
      </c>
      <c r="Z47" s="9">
        <v>0.25180000000000002</v>
      </c>
      <c r="AA47" s="9">
        <v>0.24160000000000001</v>
      </c>
      <c r="AB47" s="9">
        <v>0.23719999999999999</v>
      </c>
      <c r="AC47" s="9">
        <v>0.2369</v>
      </c>
      <c r="AD47" s="9">
        <v>0.23300000000000001</v>
      </c>
      <c r="AE47" s="9">
        <v>0.22600000000000001</v>
      </c>
      <c r="AF47" s="9">
        <v>0.22059999999999999</v>
      </c>
      <c r="AG47" s="9">
        <v>0.2135</v>
      </c>
      <c r="AH47" s="9">
        <v>0.2082</v>
      </c>
      <c r="AI47" s="9">
        <v>0.2031</v>
      </c>
      <c r="AJ47" s="9">
        <v>0.19500000000000001</v>
      </c>
      <c r="AK47" s="9">
        <v>0.19189999999999999</v>
      </c>
      <c r="AL47" s="9">
        <v>0.18890000000000001</v>
      </c>
      <c r="AM47" s="9">
        <v>0.18229999999999999</v>
      </c>
      <c r="AN47" s="9">
        <v>0.1769</v>
      </c>
      <c r="AO47" s="9">
        <v>0.1696</v>
      </c>
      <c r="AP47" s="9">
        <v>0.1666</v>
      </c>
      <c r="AQ47" s="9">
        <v>0.15859999999999999</v>
      </c>
      <c r="AR47" s="9">
        <v>0.1547</v>
      </c>
      <c r="AS47" s="9">
        <v>0.1371</v>
      </c>
      <c r="AT47" s="9"/>
      <c r="AU47" s="5"/>
      <c r="AV47" s="106"/>
      <c r="AW47" s="18"/>
      <c r="AX47" s="54"/>
      <c r="AY47" s="18"/>
      <c r="BA47" s="107"/>
    </row>
    <row r="48" spans="1:53" ht="14.5" customHeight="1" x14ac:dyDescent="0.25">
      <c r="A48" s="2">
        <v>1</v>
      </c>
      <c r="B48" s="2">
        <v>18371</v>
      </c>
      <c r="C48" s="9">
        <v>0.65029999999999999</v>
      </c>
      <c r="D48" s="9">
        <v>0.60599999999999998</v>
      </c>
      <c r="E48" s="9">
        <v>0.56299999999999994</v>
      </c>
      <c r="F48" s="9">
        <v>0.53480000000000005</v>
      </c>
      <c r="G48" s="9">
        <v>0.50639999999999996</v>
      </c>
      <c r="H48" s="9">
        <v>0.4839</v>
      </c>
      <c r="I48" s="9">
        <v>0.4647</v>
      </c>
      <c r="J48" s="9">
        <v>0.45100000000000001</v>
      </c>
      <c r="K48" s="9">
        <v>0.46310000000000001</v>
      </c>
      <c r="L48" s="9">
        <v>0.42649999999999999</v>
      </c>
      <c r="M48" s="9">
        <v>0.40989999999999999</v>
      </c>
      <c r="N48" s="9">
        <v>0.38319999999999999</v>
      </c>
      <c r="O48" s="9">
        <v>0.3725</v>
      </c>
      <c r="P48" s="9">
        <v>0.35859999999999997</v>
      </c>
      <c r="Q48" s="9">
        <v>0.34279999999999999</v>
      </c>
      <c r="R48" s="9">
        <v>0.33069999999999999</v>
      </c>
      <c r="S48" s="9">
        <v>0.3236</v>
      </c>
      <c r="T48" s="9">
        <v>0.31879999999999997</v>
      </c>
      <c r="U48" s="9">
        <v>0.30909999999999999</v>
      </c>
      <c r="V48" s="9">
        <v>0.29880000000000001</v>
      </c>
      <c r="W48" s="9">
        <v>0.2923</v>
      </c>
      <c r="X48" s="9">
        <v>0.28149999999999997</v>
      </c>
      <c r="Y48" s="9">
        <v>0.2747</v>
      </c>
      <c r="Z48" s="9">
        <v>0.26590000000000003</v>
      </c>
      <c r="AA48" s="9">
        <v>0.249</v>
      </c>
      <c r="AB48" s="9">
        <v>0.2442</v>
      </c>
      <c r="AC48" s="9">
        <v>0.23430000000000001</v>
      </c>
      <c r="AD48" s="9">
        <v>0.23180000000000001</v>
      </c>
      <c r="AE48" s="9">
        <v>0.22600000000000001</v>
      </c>
      <c r="AF48" s="9">
        <v>0.2175</v>
      </c>
      <c r="AG48" s="9">
        <v>0.21279999999999999</v>
      </c>
      <c r="AH48" s="9">
        <v>0.20699999999999999</v>
      </c>
      <c r="AI48" s="9">
        <v>0.1991</v>
      </c>
      <c r="AJ48" s="9">
        <v>0.19120000000000001</v>
      </c>
      <c r="AK48" s="9">
        <v>0.1857</v>
      </c>
      <c r="AL48" s="9">
        <v>0.18490000000000001</v>
      </c>
      <c r="AM48" s="9">
        <v>0.18310000000000001</v>
      </c>
      <c r="AN48" s="9">
        <v>0.17710000000000001</v>
      </c>
      <c r="AO48" s="9">
        <v>0.1661</v>
      </c>
      <c r="AP48" s="9">
        <v>0.159</v>
      </c>
      <c r="AQ48" s="9">
        <v>0.15479999999999999</v>
      </c>
      <c r="AR48" s="10">
        <v>0.15</v>
      </c>
      <c r="AS48" s="9">
        <v>0.14829999999999999</v>
      </c>
      <c r="AT48" s="9">
        <v>0.13020000000000001</v>
      </c>
      <c r="AU48" s="5"/>
      <c r="AV48" s="106"/>
      <c r="AW48" s="18"/>
      <c r="AX48" s="54"/>
      <c r="AY48" s="18"/>
      <c r="BA48" s="107"/>
    </row>
    <row r="49" spans="1:53" ht="12.5" x14ac:dyDescent="0.25">
      <c r="A49" s="2"/>
      <c r="B49" s="2"/>
      <c r="C49" s="9"/>
      <c r="D49" s="9"/>
      <c r="E49" s="11"/>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5"/>
    </row>
    <row r="50" spans="1:53" ht="13" thickBot="1" x14ac:dyDescent="0.3">
      <c r="A50" s="2"/>
      <c r="B50" s="2"/>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X50" s="54"/>
    </row>
    <row r="51" spans="1:53" ht="23" x14ac:dyDescent="0.5">
      <c r="A51" s="27" t="s">
        <v>19</v>
      </c>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1"/>
      <c r="AU51" s="5"/>
    </row>
    <row r="52" spans="1:53" ht="12.5" x14ac:dyDescent="0.25">
      <c r="A52" s="28"/>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4"/>
      <c r="AU52" s="5"/>
      <c r="AV52" s="5"/>
      <c r="AW52" s="5"/>
      <c r="AX52" s="5"/>
      <c r="AY52" s="5"/>
      <c r="AZ52" s="5"/>
      <c r="BA52" s="5"/>
    </row>
    <row r="53" spans="1:53" ht="23" x14ac:dyDescent="0.5">
      <c r="A53" s="61" t="s">
        <v>42</v>
      </c>
      <c r="B53" s="35"/>
      <c r="C53" s="40"/>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4"/>
      <c r="AU53" s="5"/>
      <c r="AV53" s="5"/>
      <c r="AW53" s="5"/>
      <c r="AX53" s="5"/>
      <c r="AY53" s="5"/>
      <c r="AZ53" s="5"/>
      <c r="BA53" s="5"/>
    </row>
    <row r="54" spans="1:53" ht="12.5" x14ac:dyDescent="0.25">
      <c r="A54" s="32"/>
      <c r="B54" s="6" t="s">
        <v>4</v>
      </c>
      <c r="C54" s="7">
        <v>1</v>
      </c>
      <c r="D54" s="7">
        <v>2</v>
      </c>
      <c r="E54" s="7">
        <v>3</v>
      </c>
      <c r="F54" s="7">
        <v>4</v>
      </c>
      <c r="G54" s="7">
        <v>5</v>
      </c>
      <c r="H54" s="7">
        <v>6</v>
      </c>
      <c r="I54" s="7">
        <v>7</v>
      </c>
      <c r="J54" s="7">
        <v>8</v>
      </c>
      <c r="K54" s="7">
        <v>9</v>
      </c>
      <c r="L54" s="7">
        <v>10</v>
      </c>
      <c r="M54" s="7">
        <v>11</v>
      </c>
      <c r="N54" s="7">
        <v>12</v>
      </c>
      <c r="O54" s="7">
        <v>13</v>
      </c>
      <c r="P54" s="7">
        <v>14</v>
      </c>
      <c r="Q54" s="7">
        <v>15</v>
      </c>
      <c r="R54" s="7">
        <v>16</v>
      </c>
      <c r="S54" s="7">
        <v>17</v>
      </c>
      <c r="T54" s="7">
        <v>18</v>
      </c>
      <c r="U54" s="7">
        <v>19</v>
      </c>
      <c r="V54" s="7">
        <v>20</v>
      </c>
      <c r="W54" s="7">
        <v>21</v>
      </c>
      <c r="X54" s="7">
        <v>22</v>
      </c>
      <c r="Y54" s="7">
        <v>23</v>
      </c>
      <c r="Z54" s="7">
        <v>24</v>
      </c>
      <c r="AA54" s="7">
        <v>25</v>
      </c>
      <c r="AB54" s="7">
        <v>26</v>
      </c>
      <c r="AC54" s="7">
        <v>27</v>
      </c>
      <c r="AD54" s="7">
        <v>28</v>
      </c>
      <c r="AE54" s="7">
        <v>29</v>
      </c>
      <c r="AF54" s="7">
        <v>30</v>
      </c>
      <c r="AG54" s="7">
        <v>31</v>
      </c>
      <c r="AH54" s="7">
        <v>32</v>
      </c>
      <c r="AI54" s="7">
        <v>33</v>
      </c>
      <c r="AJ54" s="7">
        <v>34</v>
      </c>
      <c r="AK54" s="7">
        <v>35</v>
      </c>
      <c r="AL54" s="7">
        <v>36</v>
      </c>
      <c r="AM54" s="7">
        <v>37</v>
      </c>
      <c r="AN54" s="7">
        <v>38</v>
      </c>
      <c r="AO54" s="7">
        <v>39</v>
      </c>
      <c r="AP54" s="7">
        <v>40</v>
      </c>
      <c r="AQ54" s="7">
        <v>41</v>
      </c>
      <c r="AR54" s="7">
        <v>42</v>
      </c>
      <c r="AS54" s="7">
        <v>43</v>
      </c>
      <c r="AT54" s="33">
        <v>44</v>
      </c>
      <c r="AU54" s="5"/>
      <c r="AV54" s="5"/>
      <c r="AW54" s="5"/>
      <c r="AX54" s="5"/>
      <c r="AY54" s="5"/>
      <c r="AZ54" s="5"/>
      <c r="BA54" s="5"/>
    </row>
    <row r="55" spans="1:53" ht="12.5" x14ac:dyDescent="0.25">
      <c r="A55" s="34"/>
      <c r="B55" s="35"/>
      <c r="C55" s="37"/>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4"/>
      <c r="AU55" s="5"/>
      <c r="AV55" s="5"/>
      <c r="AW55" s="5"/>
      <c r="AX55" s="5"/>
      <c r="AY55" s="54"/>
      <c r="AZ55" s="5"/>
      <c r="BA55" s="5"/>
    </row>
    <row r="56" spans="1:53" ht="12.5" x14ac:dyDescent="0.25">
      <c r="A56" s="36"/>
      <c r="B56" s="35"/>
      <c r="C56" s="86">
        <f>AVERAGE(C5:C48)</f>
        <v>0.56284999999999985</v>
      </c>
      <c r="D56" s="86">
        <f t="shared" ref="D56:AT56" si="0">AVERAGE(D5:D48)</f>
        <v>0.51056046511627906</v>
      </c>
      <c r="E56" s="86">
        <f t="shared" si="0"/>
        <v>0.48403095238095228</v>
      </c>
      <c r="F56" s="86">
        <f t="shared" si="0"/>
        <v>0.46804634146341467</v>
      </c>
      <c r="G56" s="86">
        <f t="shared" si="0"/>
        <v>0.43798999999999993</v>
      </c>
      <c r="H56" s="86">
        <f t="shared" si="0"/>
        <v>0.41785384615384602</v>
      </c>
      <c r="I56" s="86">
        <f t="shared" si="0"/>
        <v>0.40034210526315794</v>
      </c>
      <c r="J56" s="86">
        <f t="shared" si="0"/>
        <v>0.38368918918918926</v>
      </c>
      <c r="K56" s="86">
        <f t="shared" si="0"/>
        <v>0.37076944444444448</v>
      </c>
      <c r="L56" s="86">
        <f t="shared" si="0"/>
        <v>0.35709428571428575</v>
      </c>
      <c r="M56" s="86">
        <f t="shared" si="0"/>
        <v>0.34448235294117646</v>
      </c>
      <c r="N56" s="86">
        <f t="shared" si="0"/>
        <v>0.33129090909090925</v>
      </c>
      <c r="O56" s="86">
        <f t="shared" si="0"/>
        <v>0.32004062500000002</v>
      </c>
      <c r="P56" s="86">
        <f t="shared" si="0"/>
        <v>0.3086387096774193</v>
      </c>
      <c r="Q56" s="86">
        <f t="shared" si="0"/>
        <v>0.29845666666666659</v>
      </c>
      <c r="R56" s="86">
        <f t="shared" si="0"/>
        <v>0.28931034482758622</v>
      </c>
      <c r="S56" s="86">
        <f>AVERAGE(S5:S48)</f>
        <v>0.28015714285714283</v>
      </c>
      <c r="T56" s="86">
        <f t="shared" si="0"/>
        <v>0.27065925925925927</v>
      </c>
      <c r="U56" s="86">
        <f t="shared" si="0"/>
        <v>0.26213076923076922</v>
      </c>
      <c r="V56" s="86">
        <f t="shared" si="0"/>
        <v>0.25597200000000003</v>
      </c>
      <c r="W56" s="86">
        <f t="shared" si="0"/>
        <v>0.24842500000000001</v>
      </c>
      <c r="X56" s="86">
        <f t="shared" si="0"/>
        <v>0.24111304347826085</v>
      </c>
      <c r="Y56" s="86">
        <f t="shared" si="0"/>
        <v>0.23501818181818182</v>
      </c>
      <c r="Z56" s="86">
        <f t="shared" si="0"/>
        <v>0.22861428571428574</v>
      </c>
      <c r="AA56" s="86">
        <f t="shared" si="0"/>
        <v>0.22182499999999999</v>
      </c>
      <c r="AB56" s="86">
        <f t="shared" si="0"/>
        <v>0.2155684210526316</v>
      </c>
      <c r="AC56" s="86">
        <f t="shared" si="0"/>
        <v>0.21115555555555557</v>
      </c>
      <c r="AD56" s="86">
        <f t="shared" si="0"/>
        <v>0.20810000000000001</v>
      </c>
      <c r="AE56" s="86">
        <f t="shared" si="0"/>
        <v>0.20406875000000002</v>
      </c>
      <c r="AF56" s="86">
        <f t="shared" si="0"/>
        <v>0.20181333333333334</v>
      </c>
      <c r="AG56" s="86">
        <f t="shared" si="0"/>
        <v>0.19118571428571429</v>
      </c>
      <c r="AH56" s="86">
        <f t="shared" si="0"/>
        <v>0.18519230769230768</v>
      </c>
      <c r="AI56" s="86">
        <f t="shared" si="0"/>
        <v>0.18044166666666669</v>
      </c>
      <c r="AJ56" s="86">
        <f t="shared" si="0"/>
        <v>0.17654545454545453</v>
      </c>
      <c r="AK56" s="86">
        <f t="shared" si="0"/>
        <v>0.17432999999999998</v>
      </c>
      <c r="AL56" s="86">
        <f t="shared" si="0"/>
        <v>0.17257777777777777</v>
      </c>
      <c r="AM56" s="86">
        <f t="shared" si="0"/>
        <v>0.1696125</v>
      </c>
      <c r="AN56" s="86">
        <f t="shared" si="0"/>
        <v>0.16578571428571429</v>
      </c>
      <c r="AO56" s="86">
        <f t="shared" si="0"/>
        <v>0.15966666666666665</v>
      </c>
      <c r="AP56" s="86">
        <f t="shared" si="0"/>
        <v>0.15506</v>
      </c>
      <c r="AQ56" s="86">
        <f t="shared" si="0"/>
        <v>0.14902499999999996</v>
      </c>
      <c r="AR56" s="86">
        <f t="shared" si="0"/>
        <v>0.14549999999999999</v>
      </c>
      <c r="AS56" s="86">
        <f t="shared" si="0"/>
        <v>0.14269999999999999</v>
      </c>
      <c r="AT56" s="87">
        <f t="shared" si="0"/>
        <v>0.13020000000000001</v>
      </c>
      <c r="AU56" s="5"/>
      <c r="AV56" s="5"/>
      <c r="AW56" s="5"/>
      <c r="AX56" s="5"/>
      <c r="AZ56" s="89"/>
      <c r="BA56" s="89"/>
    </row>
    <row r="57" spans="1:53" ht="12.5" x14ac:dyDescent="0.25">
      <c r="A57" s="28"/>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4"/>
      <c r="AU57" s="5"/>
      <c r="AV57" s="5"/>
      <c r="AW57" s="5"/>
      <c r="AX57" s="5"/>
      <c r="AY57" s="5"/>
      <c r="AZ57" s="5"/>
      <c r="BA57" s="5"/>
    </row>
    <row r="58" spans="1:53" ht="37.5" x14ac:dyDescent="0.25">
      <c r="A58" s="88" t="s">
        <v>28</v>
      </c>
      <c r="B58" s="85">
        <f>SUM(C56:AT56)</f>
        <v>11.867889782149051</v>
      </c>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4"/>
      <c r="AU58" s="5"/>
      <c r="AV58" s="5"/>
      <c r="AW58" s="5"/>
      <c r="AX58" s="5"/>
      <c r="AY58" s="5"/>
      <c r="AZ58" s="5"/>
      <c r="BA58" s="5"/>
    </row>
    <row r="59" spans="1:53" ht="12.5" x14ac:dyDescent="0.25">
      <c r="A59" s="28"/>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4"/>
      <c r="AU59" s="5"/>
      <c r="AV59" s="5"/>
      <c r="AW59" s="5"/>
      <c r="AX59" s="5"/>
      <c r="AY59" s="5"/>
      <c r="AZ59" s="5"/>
      <c r="BA59" s="5"/>
    </row>
    <row r="60" spans="1:53" ht="12.5" x14ac:dyDescent="0.25">
      <c r="A60" s="28"/>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4"/>
      <c r="AU60" s="5"/>
      <c r="AV60" s="5"/>
      <c r="AW60" s="5"/>
      <c r="AX60" s="5"/>
      <c r="AY60" s="5"/>
      <c r="AZ60" s="5"/>
      <c r="BA60" s="5"/>
    </row>
    <row r="61" spans="1:53" ht="12.5" x14ac:dyDescent="0.25">
      <c r="A61" s="28"/>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4"/>
      <c r="AU61" s="5"/>
      <c r="AV61" s="5"/>
      <c r="AW61" s="106"/>
      <c r="AX61" s="5"/>
      <c r="AY61" s="5"/>
      <c r="AZ61" s="5"/>
      <c r="BA61" s="5"/>
    </row>
    <row r="62" spans="1:53" ht="12.5" x14ac:dyDescent="0.25">
      <c r="A62" s="28"/>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4"/>
      <c r="AU62" s="5"/>
      <c r="AV62" s="5"/>
      <c r="AW62" s="5"/>
      <c r="AX62" s="5"/>
      <c r="AY62" s="5"/>
      <c r="AZ62" s="5"/>
      <c r="BA62" s="5"/>
    </row>
    <row r="63" spans="1:53" ht="12.5" x14ac:dyDescent="0.25">
      <c r="A63" s="28"/>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4"/>
      <c r="AU63" s="5"/>
      <c r="AV63" s="5"/>
      <c r="AW63" s="5"/>
      <c r="AX63" s="5"/>
      <c r="AY63" s="5"/>
      <c r="AZ63" s="5"/>
      <c r="BA63" s="5"/>
    </row>
    <row r="64" spans="1:53" ht="12.5" x14ac:dyDescent="0.25">
      <c r="A64" s="28"/>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4"/>
      <c r="AU64" s="5"/>
      <c r="AV64" s="5"/>
      <c r="AW64" s="5"/>
      <c r="AX64" s="5"/>
      <c r="AY64" s="5"/>
      <c r="AZ64" s="5"/>
      <c r="BA64" s="5"/>
    </row>
    <row r="65" spans="1:53" ht="12.5" x14ac:dyDescent="0.25">
      <c r="A65" s="28"/>
      <c r="B65" s="59"/>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4"/>
      <c r="AU65" s="5"/>
      <c r="AV65" s="5"/>
      <c r="AW65" s="5"/>
      <c r="AX65" s="5"/>
      <c r="AY65" s="5"/>
      <c r="AZ65" s="5"/>
      <c r="BA65" s="5"/>
    </row>
    <row r="66" spans="1:53" ht="12.5" x14ac:dyDescent="0.25">
      <c r="A66" s="28"/>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4"/>
      <c r="AU66" s="5"/>
      <c r="AV66" s="5"/>
      <c r="AW66" s="5"/>
      <c r="AX66" s="5"/>
      <c r="AY66" s="5"/>
      <c r="AZ66" s="5"/>
      <c r="BA66" s="5"/>
    </row>
    <row r="67" spans="1:53" ht="12.5" x14ac:dyDescent="0.25">
      <c r="A67" s="28"/>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4"/>
      <c r="AU67" s="5"/>
      <c r="AV67" s="5"/>
      <c r="AW67" s="5"/>
      <c r="AX67" s="5"/>
      <c r="AY67" s="5"/>
      <c r="AZ67" s="5"/>
      <c r="BA67" s="5"/>
    </row>
    <row r="68" spans="1:53" ht="12.5" x14ac:dyDescent="0.25">
      <c r="A68" s="28"/>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4"/>
      <c r="AU68" s="5"/>
      <c r="AV68" s="5"/>
      <c r="AW68" s="5"/>
      <c r="AX68" s="5"/>
      <c r="AY68" s="5"/>
      <c r="AZ68" s="5"/>
      <c r="BA68" s="5"/>
    </row>
    <row r="69" spans="1:53" ht="12.5" x14ac:dyDescent="0.25">
      <c r="A69" s="28"/>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4"/>
      <c r="AU69" s="5"/>
      <c r="AV69" s="5"/>
      <c r="AW69" s="5"/>
      <c r="AX69" s="5"/>
      <c r="AY69" s="5"/>
      <c r="AZ69" s="5"/>
      <c r="BA69" s="5"/>
    </row>
    <row r="70" spans="1:53" ht="12.5" x14ac:dyDescent="0.25">
      <c r="A70" s="28"/>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4"/>
      <c r="AU70" s="5"/>
      <c r="AV70" s="5"/>
      <c r="AW70" s="5"/>
      <c r="AX70" s="5"/>
      <c r="AY70" s="5"/>
      <c r="AZ70" s="5"/>
      <c r="BA70" s="5"/>
    </row>
    <row r="71" spans="1:53" ht="12.5" x14ac:dyDescent="0.25">
      <c r="A71" s="28"/>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4"/>
      <c r="AU71" s="5"/>
      <c r="AV71" s="5"/>
      <c r="AW71" s="5"/>
      <c r="AX71" s="5"/>
      <c r="AY71" s="5"/>
      <c r="AZ71" s="5"/>
      <c r="BA71" s="5"/>
    </row>
    <row r="72" spans="1:53" ht="12.5" x14ac:dyDescent="0.25">
      <c r="A72" s="28"/>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4"/>
      <c r="AU72" s="5"/>
      <c r="AV72" s="5"/>
      <c r="AW72" s="5"/>
      <c r="AX72" s="5"/>
      <c r="AY72" s="5"/>
      <c r="AZ72" s="5"/>
      <c r="BA72" s="5"/>
    </row>
    <row r="73" spans="1:53" ht="12.5" x14ac:dyDescent="0.25">
      <c r="A73" s="28"/>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4"/>
      <c r="AU73" s="5"/>
      <c r="AV73" s="5"/>
      <c r="AW73" s="5"/>
      <c r="AX73" s="5"/>
      <c r="AY73" s="5"/>
      <c r="AZ73" s="5"/>
      <c r="BA73" s="5"/>
    </row>
    <row r="74" spans="1:53" ht="13" thickBot="1" x14ac:dyDescent="0.3">
      <c r="A74" s="38"/>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6"/>
      <c r="AU74" s="5"/>
      <c r="AV74" s="5"/>
      <c r="AW74" s="5"/>
      <c r="AX74" s="5"/>
      <c r="AY74" s="5"/>
      <c r="AZ74" s="5"/>
      <c r="BA74" s="5"/>
    </row>
    <row r="75" spans="1:53" ht="12.5"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row>
    <row r="76" spans="1:53" ht="12.5"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row>
    <row r="77" spans="1:53" ht="12.5"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row>
    <row r="78" spans="1:53" ht="12.5"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row>
    <row r="79" spans="1:53" ht="12.5"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row>
    <row r="80" spans="1:53" ht="12.5"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row>
    <row r="81" spans="1:53" ht="12.5"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row>
    <row r="82" spans="1:53" ht="12.5"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row>
    <row r="83" spans="1:53" ht="12.5"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row>
    <row r="84" spans="1:53" ht="12.5"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row>
    <row r="85" spans="1:53" ht="12.5"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row>
    <row r="86" spans="1:53" ht="12.5"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row>
    <row r="87" spans="1:53" ht="12.5"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row>
    <row r="88" spans="1:53" ht="12.5"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row>
    <row r="89" spans="1:53" ht="12.5"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row>
    <row r="90" spans="1:53" ht="12.5"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row>
    <row r="91" spans="1:53" ht="12.5"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row>
    <row r="92" spans="1:53" ht="12.5"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row>
    <row r="93" spans="1:53" ht="12.5"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row>
    <row r="94" spans="1:53" ht="12.5"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row>
    <row r="95" spans="1:53" ht="12.5"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row>
    <row r="96" spans="1:53" ht="12.5"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row>
    <row r="97" spans="1:53" ht="12.5"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row>
    <row r="98" spans="1:53" ht="12.5"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row>
    <row r="99" spans="1:53" ht="12.5"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row>
    <row r="100" spans="1:53" ht="12.5"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row>
    <row r="101" spans="1:53" ht="12.5"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row>
    <row r="102" spans="1:53" ht="12.5"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row>
    <row r="103" spans="1:53" ht="12.5"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row>
    <row r="104" spans="1:53" ht="12.5"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row>
    <row r="105" spans="1:53" ht="12.5"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row>
    <row r="106" spans="1:53" ht="12.5"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row>
    <row r="107" spans="1:53" ht="12.5"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row>
    <row r="108" spans="1:53" ht="12.5"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row>
    <row r="109" spans="1:53" ht="12.5"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row>
    <row r="110" spans="1:53" ht="12.5"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row>
    <row r="111" spans="1:53" ht="12.5"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row>
    <row r="112" spans="1:53" ht="12.5"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row>
    <row r="113" spans="1:53" ht="12.5"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row>
    <row r="114" spans="1:53" ht="12.5"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row>
    <row r="115" spans="1:53" ht="12.5"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row>
    <row r="116" spans="1:53" ht="12.5"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row>
    <row r="117" spans="1:53" ht="12.5"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row>
    <row r="118" spans="1:53" ht="12.5"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row>
    <row r="119" spans="1:53" ht="12.5"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row>
    <row r="120" spans="1:53" ht="12.5"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row>
    <row r="121" spans="1:53" ht="12.5"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row>
    <row r="122" spans="1:53" ht="12.5"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row>
    <row r="123" spans="1:53" ht="12.5"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row>
    <row r="124" spans="1:53" ht="12.5"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row>
    <row r="125" spans="1:53" ht="12.5"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row>
    <row r="126" spans="1:53" ht="12.5"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row>
    <row r="127" spans="1:53" ht="12.5"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row>
    <row r="128" spans="1:53" ht="12.5"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row>
    <row r="129" spans="1:53" ht="12.5"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row>
    <row r="130" spans="1:53" ht="12.5"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row>
    <row r="131" spans="1:53" ht="12.5"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row>
    <row r="132" spans="1:53" ht="12.5"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row>
    <row r="133" spans="1:53" ht="12.5"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row>
    <row r="134" spans="1:53" ht="12.5"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row>
    <row r="135" spans="1:53" ht="12.5"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row>
    <row r="136" spans="1:53" ht="12.5"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row>
    <row r="137" spans="1:53" ht="12.5"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row>
    <row r="138" spans="1:53" ht="12.5"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row>
    <row r="139" spans="1:53" ht="12.5"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row>
    <row r="140" spans="1:53" ht="12.5"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row>
    <row r="141" spans="1:53" ht="12.5"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row>
    <row r="142" spans="1:53" ht="12.5"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row>
    <row r="143" spans="1:53" ht="12.5"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row>
    <row r="144" spans="1:53" ht="12.5"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row>
    <row r="145" spans="1:53" ht="12.5"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row>
    <row r="146" spans="1:53" ht="12.5"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row>
    <row r="147" spans="1:53" ht="12.5"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row>
    <row r="148" spans="1:53" ht="12.5"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row>
    <row r="149" spans="1:53" ht="12.5"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row>
    <row r="150" spans="1:53" ht="12.5"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row>
    <row r="151" spans="1:53" ht="12.5"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row>
    <row r="152" spans="1:53" ht="12.5"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row>
    <row r="153" spans="1:53" ht="12.5"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row>
    <row r="154" spans="1:53" ht="12.5"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row>
    <row r="155" spans="1:53" ht="12.5"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row>
    <row r="156" spans="1:53" ht="12.5"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row>
    <row r="157" spans="1:53" ht="12.5"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row>
    <row r="158" spans="1:53" ht="12.5"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row>
    <row r="159" spans="1:53" ht="12.5"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row>
    <row r="160" spans="1:53" ht="12.5"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row>
    <row r="161" spans="1:53" ht="12.5"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row>
    <row r="162" spans="1:53" ht="12.5"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row>
    <row r="163" spans="1:53" ht="12.5"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row>
    <row r="164" spans="1:53" ht="12.5"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row>
    <row r="165" spans="1:53" ht="12.5"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row>
    <row r="166" spans="1:53" ht="12.5"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row>
    <row r="167" spans="1:53" ht="12.5"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row>
    <row r="168" spans="1:53" ht="12.5"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row>
    <row r="169" spans="1:53" ht="12.5"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row>
    <row r="170" spans="1:53" ht="12.5"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row>
    <row r="171" spans="1:53" ht="12.5"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row>
    <row r="172" spans="1:53" ht="12.5"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row>
    <row r="173" spans="1:53" ht="12.5"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row>
    <row r="174" spans="1:53" ht="12.5"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row>
    <row r="175" spans="1:53" ht="12.5"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row>
    <row r="176" spans="1:53" ht="12.5"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row>
    <row r="177" spans="1:53" ht="12.5"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row>
    <row r="178" spans="1:53" ht="12.5"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row>
    <row r="179" spans="1:53" ht="12.5"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row>
    <row r="180" spans="1:53" ht="12.5"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row>
    <row r="181" spans="1:53" ht="12.5"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row>
    <row r="182" spans="1:53" ht="12.5"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row>
    <row r="183" spans="1:53" ht="12.5"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row>
    <row r="184" spans="1:53" ht="12.5"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row>
    <row r="185" spans="1:53" ht="12.5"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row>
    <row r="186" spans="1:53" ht="12.5"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row>
    <row r="187" spans="1:53" ht="12.5"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row>
    <row r="188" spans="1:53" ht="12.5"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row>
    <row r="189" spans="1:53" ht="12.5"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row>
    <row r="190" spans="1:53" ht="12.5"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row>
    <row r="191" spans="1:53" ht="12.5"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row>
    <row r="192" spans="1:53" ht="12.5"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row>
    <row r="193" spans="1:53" ht="12.5"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row>
    <row r="194" spans="1:53" ht="12.5"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row>
    <row r="195" spans="1:53" ht="12.5"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row>
    <row r="196" spans="1:53" ht="12.5"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row>
    <row r="197" spans="1:53" ht="12.5"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row>
    <row r="198" spans="1:53" ht="12.5"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row>
    <row r="199" spans="1:53" ht="12.5"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row>
    <row r="200" spans="1:53" ht="12.5"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row>
    <row r="201" spans="1:53" ht="12.5"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row>
    <row r="202" spans="1:53" ht="12.5"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row>
    <row r="203" spans="1:53" ht="12.5"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row>
    <row r="204" spans="1:53" ht="12.5"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row>
    <row r="205" spans="1:53" ht="12.5"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row>
    <row r="206" spans="1:53" ht="12.5"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row>
    <row r="207" spans="1:53" ht="12.5"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row>
    <row r="208" spans="1:53" ht="12.5"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row>
    <row r="209" spans="1:53" ht="12.5"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row>
    <row r="210" spans="1:53" ht="12.5"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row>
    <row r="211" spans="1:53" ht="12.5"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row>
    <row r="212" spans="1:53" ht="12.5"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row>
    <row r="213" spans="1:53" ht="12.5"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row>
    <row r="214" spans="1:53" ht="12.5"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row>
    <row r="215" spans="1:53" ht="12.5"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row>
    <row r="216" spans="1:53" ht="12.5"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row>
    <row r="217" spans="1:53" ht="12.5"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row>
    <row r="218" spans="1:53" ht="12.5"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row>
    <row r="219" spans="1:53" ht="12.5"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row>
    <row r="220" spans="1:53" ht="12.5"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row>
    <row r="221" spans="1:53" ht="12.5"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row>
    <row r="222" spans="1:53" ht="12.5"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row>
    <row r="223" spans="1:53" ht="12.5"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row>
    <row r="224" spans="1:53" ht="12.5"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row>
    <row r="225" spans="1:53" ht="12.5"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row>
    <row r="226" spans="1:53" ht="12.5"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row>
    <row r="227" spans="1:53" ht="12.5"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row>
    <row r="228" spans="1:53" ht="12.5"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row>
    <row r="229" spans="1:53" ht="12.5"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row>
    <row r="230" spans="1:53" ht="12.5"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row>
    <row r="231" spans="1:53" ht="12.5"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row>
    <row r="232" spans="1:53" ht="12.5"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row>
    <row r="233" spans="1:53" ht="12.5"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row>
    <row r="234" spans="1:53" ht="12.5"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row>
    <row r="235" spans="1:53" ht="12.5"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row>
    <row r="236" spans="1:53" ht="12.5"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row>
    <row r="237" spans="1:53" ht="12.5"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row>
    <row r="238" spans="1:53" ht="12.5"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row>
    <row r="239" spans="1:53" ht="12.5"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row>
    <row r="240" spans="1:53" ht="12.5"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row>
    <row r="241" spans="1:53" ht="12.5"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row>
    <row r="242" spans="1:53" ht="12.5"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row>
    <row r="243" spans="1:53" ht="12.5"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row>
    <row r="244" spans="1:53" ht="12.5"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row>
    <row r="245" spans="1:53" ht="12.5"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row>
    <row r="246" spans="1:53" ht="12.5"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row>
    <row r="247" spans="1:53" ht="12.5"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row>
    <row r="248" spans="1:53" ht="12.5"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row>
    <row r="249" spans="1:53" ht="12.5"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row>
    <row r="250" spans="1:53" ht="12.5"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row>
    <row r="251" spans="1:53" ht="12.5"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row>
    <row r="252" spans="1:53" ht="12.5"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row>
    <row r="253" spans="1:53" ht="12.5"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row>
    <row r="254" spans="1:53" ht="12.5"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row>
    <row r="255" spans="1:53" ht="12.5"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row>
    <row r="256" spans="1:53" ht="12.5"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row>
    <row r="257" spans="1:53" ht="12.5"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row>
    <row r="258" spans="1:53" ht="12.5"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row>
    <row r="259" spans="1:53" ht="12.5"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row>
    <row r="260" spans="1:53" ht="12.5"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row>
    <row r="261" spans="1:53" ht="12.5"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row>
    <row r="262" spans="1:53" ht="12.5"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row>
    <row r="263" spans="1:53" ht="12.5"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row>
    <row r="264" spans="1:53" ht="12.5"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row>
    <row r="265" spans="1:53" ht="12.5"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row>
    <row r="266" spans="1:53" ht="12.5"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row>
    <row r="267" spans="1:53" ht="12.5"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row>
    <row r="268" spans="1:53" ht="12.5"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row>
    <row r="269" spans="1:53" ht="12.5"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row>
    <row r="270" spans="1:53" ht="12.5"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row>
    <row r="271" spans="1:53" ht="12.5"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row>
    <row r="272" spans="1:53" ht="12.5"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row>
    <row r="273" spans="1:53" ht="12.5"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row>
    <row r="274" spans="1:53" ht="12.5"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row>
    <row r="275" spans="1:53" ht="12.5"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row>
    <row r="276" spans="1:53" ht="12.5"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row>
    <row r="277" spans="1:53" ht="12.5"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row>
    <row r="278" spans="1:53" ht="12.5"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row>
    <row r="279" spans="1:53" ht="12.5"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row>
    <row r="280" spans="1:53" ht="12.5"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row>
    <row r="281" spans="1:53" ht="12.5"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row>
    <row r="282" spans="1:53" ht="12.5"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row>
    <row r="283" spans="1:53" ht="12.5"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row>
    <row r="284" spans="1:53" ht="12.5"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row>
    <row r="285" spans="1:53" ht="12.5"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row>
    <row r="286" spans="1:53" ht="12.5"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row>
    <row r="287" spans="1:53" ht="12.5"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row>
    <row r="288" spans="1:53" ht="12.5"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row>
    <row r="289" spans="1:53" ht="12.5"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row>
    <row r="290" spans="1:53" ht="12.5"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row>
    <row r="291" spans="1:53" ht="12.5"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row>
    <row r="292" spans="1:53" ht="12.5"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row>
    <row r="293" spans="1:53" ht="12.5"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row>
    <row r="294" spans="1:53" ht="12.5"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row>
    <row r="295" spans="1:53" ht="12.5"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row>
    <row r="296" spans="1:53" ht="12.5"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row>
    <row r="297" spans="1:53" ht="12.5"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row>
    <row r="298" spans="1:53" ht="12.5"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row>
    <row r="299" spans="1:53" ht="12.5"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row>
    <row r="300" spans="1:53" ht="12.5"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row>
    <row r="301" spans="1:53" ht="12.5"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row>
    <row r="302" spans="1:53" ht="12.5"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row>
    <row r="303" spans="1:53" ht="12.5"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row>
    <row r="304" spans="1:53" ht="12.5"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row>
    <row r="305" spans="1:53" ht="12.5"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row>
    <row r="306" spans="1:53" ht="12.5"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row>
    <row r="307" spans="1:53" ht="12.5"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row>
    <row r="308" spans="1:53" ht="12.5"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row>
    <row r="309" spans="1:53" ht="12.5"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row>
    <row r="310" spans="1:53" ht="12.5"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row>
    <row r="311" spans="1:53" ht="12.5"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row>
    <row r="312" spans="1:53" ht="12.5"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row>
    <row r="313" spans="1:53" ht="12.5"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row>
    <row r="314" spans="1:53" ht="12.5"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row>
    <row r="315" spans="1:53" ht="12.5"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row>
    <row r="316" spans="1:53" ht="12.5"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row>
    <row r="317" spans="1:53" ht="12.5"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row>
    <row r="318" spans="1:53" ht="12.5"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row>
    <row r="319" spans="1:53" ht="12.5"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row>
    <row r="320" spans="1:53" ht="12.5"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row>
    <row r="321" spans="1:53" ht="12.5"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row>
    <row r="322" spans="1:53" ht="12.5"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row>
    <row r="323" spans="1:53" ht="12.5"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row>
    <row r="324" spans="1:53" ht="12.5"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row>
    <row r="325" spans="1:53" ht="12.5"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row>
    <row r="326" spans="1:53" ht="12.5"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row>
    <row r="327" spans="1:53" ht="12.5"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row>
    <row r="328" spans="1:53" ht="12.5"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row>
    <row r="329" spans="1:53" ht="12.5"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row>
    <row r="330" spans="1:53" ht="12.5"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row>
    <row r="331" spans="1:53" ht="12.5"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row>
    <row r="332" spans="1:53" ht="12.5"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row>
    <row r="333" spans="1:53" ht="12.5"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row>
    <row r="334" spans="1:53" ht="12.5"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row>
    <row r="335" spans="1:53" ht="12.5"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row>
    <row r="336" spans="1:53" ht="12.5"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row>
    <row r="337" spans="1:53" ht="12.5"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row>
    <row r="338" spans="1:53" ht="12.5"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row>
    <row r="339" spans="1:53" ht="12.5"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row>
    <row r="340" spans="1:53" ht="12.5"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row>
    <row r="341" spans="1:53" ht="12.5"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row>
    <row r="342" spans="1:53" ht="12.5"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row>
    <row r="343" spans="1:53" ht="12.5"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row>
    <row r="344" spans="1:53" ht="12.5"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row>
    <row r="345" spans="1:53" ht="12.5"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row>
    <row r="346" spans="1:53" ht="12.5"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row>
    <row r="347" spans="1:53" ht="12.5"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row>
    <row r="348" spans="1:53" ht="12.5"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row>
    <row r="349" spans="1:53" ht="12.5"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row>
    <row r="350" spans="1:53" ht="12.5"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row>
    <row r="351" spans="1:53" ht="12.5"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row>
    <row r="352" spans="1:53" ht="12.5"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row>
    <row r="353" spans="1:53" ht="12.5"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row>
    <row r="354" spans="1:53" ht="12.5"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row>
    <row r="355" spans="1:53" ht="12.5"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row>
    <row r="356" spans="1:53" ht="12.5"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row>
    <row r="357" spans="1:53" ht="12.5"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row>
    <row r="358" spans="1:53" ht="12.5"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row>
    <row r="359" spans="1:53" ht="12.5"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row>
    <row r="360" spans="1:53" ht="12.5"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row>
    <row r="361" spans="1:53" ht="12.5"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row>
    <row r="362" spans="1:53" ht="12.5"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row>
    <row r="363" spans="1:53" ht="12.5"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row>
    <row r="364" spans="1:53" ht="12.5"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row>
    <row r="365" spans="1:53" ht="12.5"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row>
    <row r="366" spans="1:53" ht="12.5"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row>
    <row r="367" spans="1:53" ht="12.5"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row>
    <row r="368" spans="1:53" ht="12.5"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row>
    <row r="369" spans="1:53" ht="12.5"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row>
    <row r="370" spans="1:53" ht="12.5"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row>
    <row r="371" spans="1:53" ht="12.5"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row>
    <row r="372" spans="1:53" ht="12.5"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row>
    <row r="373" spans="1:53" ht="12.5"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row>
    <row r="374" spans="1:53" ht="12.5"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row>
    <row r="375" spans="1:53" ht="12.5"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row>
    <row r="376" spans="1:53" ht="12.5"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row>
    <row r="377" spans="1:53" ht="12.5"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row>
    <row r="378" spans="1:53" ht="12.5"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row>
    <row r="379" spans="1:53" ht="12.5"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row>
    <row r="380" spans="1:53" ht="12.5"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row>
    <row r="381" spans="1:53" ht="12.5"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row>
    <row r="382" spans="1:53" ht="12.5"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row>
    <row r="383" spans="1:53" ht="12.5"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row>
    <row r="384" spans="1:53" ht="12.5"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row>
    <row r="385" spans="1:53" ht="12.5"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row>
    <row r="386" spans="1:53" ht="12.5"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row>
    <row r="387" spans="1:53" ht="12.5"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row>
    <row r="388" spans="1:53" ht="12.5"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row>
    <row r="389" spans="1:53" ht="12.5"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row>
    <row r="390" spans="1:53" ht="12.5"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row>
    <row r="391" spans="1:53" ht="12.5"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row>
    <row r="392" spans="1:53" ht="12.5"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row>
    <row r="393" spans="1:53" ht="12.5"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row>
    <row r="394" spans="1:53" ht="12.5"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row>
    <row r="395" spans="1:53" ht="12.5"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row>
    <row r="396" spans="1:53" ht="12.5"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row>
    <row r="397" spans="1:53" ht="12.5"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row>
    <row r="398" spans="1:53" ht="12.5"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row>
    <row r="399" spans="1:53" ht="12.5"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row>
    <row r="400" spans="1:53" ht="12.5"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row>
    <row r="401" spans="1:53" ht="12.5"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row>
    <row r="402" spans="1:53" ht="12.5"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row>
    <row r="403" spans="1:53" ht="12.5"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row>
    <row r="404" spans="1:53" ht="12.5"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row>
    <row r="405" spans="1:53" ht="12.5"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row>
    <row r="406" spans="1:53" ht="12.5"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row>
    <row r="407" spans="1:53" ht="12.5"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row>
    <row r="408" spans="1:53" ht="12.5"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row>
    <row r="409" spans="1:53" ht="12.5"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row>
    <row r="410" spans="1:53" ht="12.5"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row>
    <row r="411" spans="1:53" ht="12.5"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row>
    <row r="412" spans="1:53" ht="12.5"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row>
    <row r="413" spans="1:53" ht="12.5"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row>
    <row r="414" spans="1:53" ht="12.5"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row>
    <row r="415" spans="1:53" ht="12.5"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row>
    <row r="416" spans="1:53" ht="12.5"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row>
    <row r="417" spans="1:53" ht="12.5"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row>
    <row r="418" spans="1:53" ht="12.5"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row>
    <row r="419" spans="1:53" ht="12.5"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row>
    <row r="420" spans="1:53" ht="12.5"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row>
    <row r="421" spans="1:53" ht="12.5"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row>
    <row r="422" spans="1:53" ht="12.5"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row>
    <row r="423" spans="1:53" ht="12.5"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row>
    <row r="424" spans="1:53" ht="12.5"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row>
    <row r="425" spans="1:53" ht="12.5"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row>
    <row r="426" spans="1:53" ht="12.5"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row>
    <row r="427" spans="1:53" ht="12.5"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row>
    <row r="428" spans="1:53" ht="12.5"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row>
    <row r="429" spans="1:53" ht="12.5"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row>
    <row r="430" spans="1:53" ht="12.5"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row>
    <row r="431" spans="1:53" ht="12.5"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row>
    <row r="432" spans="1:53" ht="12.5"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row>
    <row r="433" spans="1:53" ht="12.5"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row>
    <row r="434" spans="1:53" ht="12.5"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row>
    <row r="435" spans="1:53" ht="12.5"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row>
    <row r="436" spans="1:53" ht="12.5"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row>
    <row r="437" spans="1:53" ht="12.5"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row>
    <row r="438" spans="1:53" ht="12.5"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row>
    <row r="439" spans="1:53" ht="12.5"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row>
    <row r="440" spans="1:53" ht="12.5"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row>
    <row r="441" spans="1:53" ht="12.5"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row>
    <row r="442" spans="1:53" ht="12.5"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row>
    <row r="443" spans="1:53" ht="12.5"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row>
    <row r="444" spans="1:53" ht="12.5"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row>
    <row r="445" spans="1:53" ht="12.5"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row>
    <row r="446" spans="1:53" ht="12.5"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row>
    <row r="447" spans="1:53" ht="12.5"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row>
    <row r="448" spans="1:53" ht="12.5"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row>
    <row r="449" spans="1:53" ht="12.5"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row>
    <row r="450" spans="1:53" ht="12.5"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row>
    <row r="451" spans="1:53" ht="12.5"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row>
    <row r="452" spans="1:53" ht="12.5"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row>
    <row r="453" spans="1:53" ht="12.5"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row>
    <row r="454" spans="1:53" ht="12.5"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row>
    <row r="455" spans="1:53" ht="12.5"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row>
    <row r="456" spans="1:53" ht="12.5"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row>
    <row r="457" spans="1:53" ht="12.5"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row>
    <row r="458" spans="1:53" ht="12.5"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row>
    <row r="459" spans="1:53" ht="12.5"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row>
    <row r="460" spans="1:53" ht="12.5"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row>
    <row r="461" spans="1:53" ht="12.5"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row>
    <row r="462" spans="1:53" ht="12.5"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row>
    <row r="463" spans="1:53" ht="12.5"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row>
    <row r="464" spans="1:53" ht="12.5"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row>
    <row r="465" spans="1:53" ht="12.5"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row>
    <row r="466" spans="1:53" ht="12.5"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row>
    <row r="467" spans="1:53" ht="12.5"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row>
    <row r="468" spans="1:53" ht="12.5"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row>
    <row r="469" spans="1:53" ht="12.5"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row>
    <row r="470" spans="1:53" ht="12.5"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row>
    <row r="471" spans="1:53" ht="12.5"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row>
    <row r="472" spans="1:53" ht="12.5"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row>
    <row r="473" spans="1:53" ht="12.5"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row>
    <row r="474" spans="1:53" ht="12.5"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row>
    <row r="475" spans="1:53" ht="12.5"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row>
    <row r="476" spans="1:53" ht="12.5"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row>
    <row r="477" spans="1:53" ht="12.5"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row>
    <row r="478" spans="1:53" ht="12.5"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row>
    <row r="479" spans="1:53" ht="12.5"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row>
    <row r="480" spans="1:53" ht="12.5"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row>
    <row r="481" spans="1:53" ht="12.5"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row>
    <row r="482" spans="1:53" ht="12.5"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row>
    <row r="483" spans="1:53" ht="12.5"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row>
    <row r="484" spans="1:53" ht="12.5"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row>
    <row r="485" spans="1:53" ht="12.5"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row>
    <row r="486" spans="1:53" ht="12.5"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row>
    <row r="487" spans="1:53" ht="12.5"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row>
    <row r="488" spans="1:53" ht="12.5"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row>
    <row r="489" spans="1:53" ht="12.5"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row>
    <row r="490" spans="1:53" ht="12.5"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row>
    <row r="491" spans="1:53" ht="12.5"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row>
    <row r="492" spans="1:53" ht="12.5"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row>
    <row r="493" spans="1:53" ht="12.5"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row>
    <row r="494" spans="1:53" ht="12.5"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row>
    <row r="495" spans="1:53" ht="12.5"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row>
    <row r="496" spans="1:53" ht="12.5"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row>
    <row r="497" spans="1:53" ht="12.5"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row>
    <row r="498" spans="1:53" ht="12.5"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row>
    <row r="499" spans="1:53" ht="12.5"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row>
    <row r="500" spans="1:53" ht="12.5"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row>
    <row r="501" spans="1:53" ht="12.5"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row>
    <row r="502" spans="1:53" ht="12.5"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row>
    <row r="503" spans="1:53" ht="12.5"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row>
    <row r="504" spans="1:53" ht="12.5"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row>
    <row r="505" spans="1:53" ht="12.5"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row>
    <row r="506" spans="1:53" ht="12.5"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row>
    <row r="507" spans="1:53" ht="12.5"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row>
    <row r="508" spans="1:53" ht="12.5"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row>
    <row r="509" spans="1:53" ht="12.5"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row>
    <row r="510" spans="1:53" ht="12.5"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row>
    <row r="511" spans="1:53" ht="12.5"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row>
    <row r="512" spans="1:53" ht="12.5"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row>
    <row r="513" spans="1:53" ht="12.5"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row>
    <row r="514" spans="1:53" ht="12.5"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row>
    <row r="515" spans="1:53" ht="12.5"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row>
    <row r="516" spans="1:53" ht="12.5"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row>
    <row r="517" spans="1:53" ht="12.5"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row>
    <row r="518" spans="1:53" ht="12.5"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row>
    <row r="519" spans="1:53" ht="12.5"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row>
    <row r="520" spans="1:53" ht="12.5"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row>
    <row r="521" spans="1:53" ht="12.5"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row>
    <row r="522" spans="1:53" ht="12.5"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row>
    <row r="523" spans="1:53" ht="12.5"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row>
    <row r="524" spans="1:53" ht="12.5"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row>
    <row r="525" spans="1:53" ht="12.5"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row>
    <row r="526" spans="1:53" ht="12.5"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row>
    <row r="527" spans="1:53" ht="12.5"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row>
    <row r="528" spans="1:53" ht="12.5"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row>
    <row r="529" spans="1:53" ht="12.5"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row>
    <row r="530" spans="1:53" ht="12.5"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row>
    <row r="531" spans="1:53" ht="12.5"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row>
    <row r="532" spans="1:53" ht="12.5"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row>
    <row r="533" spans="1:53" ht="12.5"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row>
    <row r="534" spans="1:53" ht="12.5"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row>
    <row r="535" spans="1:53" ht="12.5"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row>
    <row r="536" spans="1:53" ht="12.5"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row>
    <row r="537" spans="1:53" ht="12.5"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row>
    <row r="538" spans="1:53" ht="12.5"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row>
    <row r="539" spans="1:53" ht="12.5"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row>
    <row r="540" spans="1:53" ht="12.5"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row>
    <row r="541" spans="1:53" ht="12.5"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row>
    <row r="542" spans="1:53" ht="12.5"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row>
    <row r="543" spans="1:53" ht="12.5"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row>
    <row r="544" spans="1:53" ht="12.5"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row>
    <row r="545" spans="1:53" ht="12.5"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row>
    <row r="546" spans="1:53" ht="12.5"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row>
    <row r="547" spans="1:53" ht="12.5"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row>
    <row r="548" spans="1:53" ht="12.5"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row>
    <row r="549" spans="1:53" ht="12.5"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row>
    <row r="550" spans="1:53" ht="12.5"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row>
    <row r="551" spans="1:53" ht="12.5"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row>
    <row r="552" spans="1:53" ht="12.5"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row>
    <row r="553" spans="1:53" ht="12.5"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row>
    <row r="554" spans="1:53" ht="12.5"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row>
    <row r="555" spans="1:53" ht="12.5"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row>
    <row r="556" spans="1:53" ht="12.5"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row>
    <row r="557" spans="1:53" ht="12.5"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row>
    <row r="558" spans="1:53" ht="12.5"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row>
    <row r="559" spans="1:53" ht="12.5"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row>
    <row r="560" spans="1:53" ht="12.5"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row>
    <row r="561" spans="1:53" ht="12.5"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row>
    <row r="562" spans="1:53" ht="12.5"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row>
    <row r="563" spans="1:53" ht="12.5"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row>
    <row r="564" spans="1:53" ht="12.5"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row>
    <row r="565" spans="1:53" ht="12.5"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row>
    <row r="566" spans="1:53" ht="12.5"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row>
    <row r="567" spans="1:53" ht="12.5"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row>
    <row r="568" spans="1:53" ht="12.5"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row>
    <row r="569" spans="1:53" ht="12.5"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row>
    <row r="570" spans="1:53" ht="12.5"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row>
    <row r="571" spans="1:53" ht="12.5"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row>
    <row r="572" spans="1:53" ht="12.5"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row>
    <row r="573" spans="1:53" ht="12.5"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row>
    <row r="574" spans="1:53" ht="12.5"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row>
    <row r="575" spans="1:53" ht="12.5"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row>
    <row r="576" spans="1:53" ht="12.5"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row>
    <row r="577" spans="1:53" ht="12.5"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row>
    <row r="578" spans="1:53" ht="12.5"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row>
    <row r="579" spans="1:53" ht="12.5"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row>
    <row r="580" spans="1:53" ht="12.5"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row>
    <row r="581" spans="1:53" ht="12.5"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row>
    <row r="582" spans="1:53" ht="12.5"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row>
    <row r="583" spans="1:53" ht="12.5"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row>
    <row r="584" spans="1:53" ht="12.5"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row>
    <row r="585" spans="1:53" ht="12.5"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row>
    <row r="586" spans="1:53" ht="12.5"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row>
    <row r="587" spans="1:53" ht="12.5"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row>
    <row r="588" spans="1:53" ht="12.5"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row>
    <row r="589" spans="1:53" ht="12.5"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row>
    <row r="590" spans="1:53" ht="12.5"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row>
    <row r="591" spans="1:53" ht="12.5"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row>
    <row r="592" spans="1:53" ht="12.5"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row>
    <row r="593" spans="1:53" ht="12.5"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row>
    <row r="594" spans="1:53" ht="12.5"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row>
    <row r="595" spans="1:53" ht="12.5"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row>
    <row r="596" spans="1:53" ht="12.5"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row>
    <row r="597" spans="1:53" ht="12.5"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row>
    <row r="598" spans="1:53" ht="12.5"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row>
    <row r="599" spans="1:53" ht="12.5"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row>
    <row r="600" spans="1:53" ht="12.5"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row>
    <row r="601" spans="1:53" ht="12.5"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row>
    <row r="602" spans="1:53" ht="12.5"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row>
    <row r="603" spans="1:53" ht="12.5"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row>
    <row r="604" spans="1:53" ht="12.5"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row>
    <row r="605" spans="1:53" ht="12.5"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row>
    <row r="606" spans="1:53" ht="12.5"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row>
    <row r="607" spans="1:53" ht="12.5"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row>
    <row r="608" spans="1:53" ht="12.5"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row>
    <row r="609" spans="1:53" ht="12.5"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row>
    <row r="610" spans="1:53" ht="12.5"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row>
    <row r="611" spans="1:53" ht="12.5"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row>
    <row r="612" spans="1:53" ht="12.5"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row>
    <row r="613" spans="1:53" ht="12.5"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row>
    <row r="614" spans="1:53" ht="12.5"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row>
    <row r="615" spans="1:53" ht="12.5"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row>
    <row r="616" spans="1:53" ht="12.5"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row>
    <row r="617" spans="1:53" ht="12.5"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row>
    <row r="618" spans="1:53" ht="12.5"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row>
    <row r="619" spans="1:53" ht="12.5"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row>
    <row r="620" spans="1:53" ht="12.5"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row>
    <row r="621" spans="1:53" ht="12.5"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row>
    <row r="622" spans="1:53" ht="12.5"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row>
    <row r="623" spans="1:53" ht="12.5"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row>
    <row r="624" spans="1:53" ht="12.5"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row>
    <row r="625" spans="1:53" ht="12.5"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row>
    <row r="626" spans="1:53" ht="12.5"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row>
    <row r="627" spans="1:53" ht="12.5"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row>
    <row r="628" spans="1:53" ht="12.5"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row>
    <row r="629" spans="1:53" ht="12.5"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row>
    <row r="630" spans="1:53" ht="12.5"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row>
    <row r="631" spans="1:53" ht="12.5"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row>
    <row r="632" spans="1:53" ht="12.5"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row>
    <row r="633" spans="1:53" ht="12.5"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row>
    <row r="634" spans="1:53" ht="12.5"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row>
    <row r="635" spans="1:53" ht="12.5"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row>
    <row r="636" spans="1:53" ht="12.5"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row>
    <row r="637" spans="1:53" ht="12.5"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row>
    <row r="638" spans="1:53" ht="12.5"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row>
    <row r="639" spans="1:53" ht="12.5"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row>
    <row r="640" spans="1:53" ht="12.5"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row>
    <row r="641" spans="1:53" ht="12.5"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row>
    <row r="642" spans="1:53" ht="12.5"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row>
    <row r="643" spans="1:53" ht="12.5"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row>
    <row r="644" spans="1:53" ht="12.5"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row>
    <row r="645" spans="1:53" ht="12.5"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row>
    <row r="646" spans="1:53" ht="12.5"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row>
    <row r="647" spans="1:53" ht="12.5"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row>
    <row r="648" spans="1:53" ht="12.5"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row>
    <row r="649" spans="1:53" ht="12.5"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row>
    <row r="650" spans="1:53" ht="12.5"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row>
    <row r="651" spans="1:53" ht="12.5"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row>
    <row r="652" spans="1:53" ht="12.5"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row>
    <row r="653" spans="1:53" ht="12.5"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row>
    <row r="654" spans="1:53" ht="12.5"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row>
    <row r="655" spans="1:53" ht="12.5"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row>
    <row r="656" spans="1:53" ht="12.5"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row>
    <row r="657" spans="1:53" ht="12.5"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row>
    <row r="658" spans="1:53" ht="12.5"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row>
    <row r="659" spans="1:53" ht="12.5"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row>
    <row r="660" spans="1:53" ht="12.5"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row>
    <row r="661" spans="1:53" ht="12.5"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row>
    <row r="662" spans="1:53" ht="12.5"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row>
    <row r="663" spans="1:53" ht="12.5"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row>
    <row r="664" spans="1:53" ht="12.5"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row>
    <row r="665" spans="1:53" ht="12.5"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row>
    <row r="666" spans="1:53" ht="12.5"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row>
    <row r="667" spans="1:53" ht="12.5"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row>
    <row r="668" spans="1:53" ht="12.5"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row>
    <row r="669" spans="1:53" ht="12.5"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row>
    <row r="670" spans="1:53" ht="12.5"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row>
    <row r="671" spans="1:53" ht="12.5"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row>
    <row r="672" spans="1:53" ht="12.5"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row>
    <row r="673" spans="1:53" ht="12.5"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row>
    <row r="674" spans="1:53" ht="12.5"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row>
    <row r="675" spans="1:53" ht="12.5"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row>
    <row r="676" spans="1:53" ht="12.5"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row>
    <row r="677" spans="1:53" ht="12.5"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row>
    <row r="678" spans="1:53" ht="12.5"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row>
    <row r="679" spans="1:53" ht="12.5"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row>
    <row r="680" spans="1:53" ht="12.5"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row>
    <row r="681" spans="1:53" ht="12.5"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row>
    <row r="682" spans="1:53" ht="12.5"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row>
    <row r="683" spans="1:53" ht="12.5"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row>
    <row r="684" spans="1:53" ht="12.5"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row>
    <row r="685" spans="1:53" ht="12.5"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row>
    <row r="686" spans="1:53" ht="12.5"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row>
    <row r="687" spans="1:53" ht="12.5"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row>
    <row r="688" spans="1:53" ht="12.5"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row>
    <row r="689" spans="1:53" ht="12.5"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row>
    <row r="690" spans="1:53" ht="12.5"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row>
    <row r="691" spans="1:53" ht="12.5"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row>
    <row r="692" spans="1:53" ht="12.5"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row>
    <row r="693" spans="1:53" ht="12.5"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row>
    <row r="694" spans="1:53" ht="12.5"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row>
    <row r="695" spans="1:53" ht="12.5"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row>
    <row r="696" spans="1:53" ht="12.5"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row>
    <row r="697" spans="1:53" ht="12.5"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row>
    <row r="698" spans="1:53" ht="12.5"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row>
    <row r="699" spans="1:53" ht="12.5"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row>
    <row r="700" spans="1:53" ht="12.5"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row>
    <row r="701" spans="1:53" ht="12.5"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row>
    <row r="702" spans="1:53" ht="12.5"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row>
    <row r="703" spans="1:53" ht="12.5"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row>
    <row r="704" spans="1:53" ht="12.5"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row>
    <row r="705" spans="1:53" ht="12.5"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row>
    <row r="706" spans="1:53" ht="12.5"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row>
    <row r="707" spans="1:53" ht="12.5"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row>
    <row r="708" spans="1:53" ht="12.5"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row>
    <row r="709" spans="1:53" ht="12.5"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row>
    <row r="710" spans="1:53" ht="12.5"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row>
    <row r="711" spans="1:53" ht="12.5"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row>
    <row r="712" spans="1:53" ht="12.5"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row>
    <row r="713" spans="1:53" ht="12.5"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row>
    <row r="714" spans="1:53" ht="12.5"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row>
    <row r="715" spans="1:53" ht="12.5"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row>
    <row r="716" spans="1:53" ht="12.5"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row>
    <row r="717" spans="1:53" ht="12.5"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row>
    <row r="718" spans="1:53" ht="12.5"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row>
    <row r="719" spans="1:53" ht="12.5"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row>
    <row r="720" spans="1:53" ht="12.5"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row>
    <row r="721" spans="1:53" ht="12.5"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row>
    <row r="722" spans="1:53" ht="12.5"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row>
    <row r="723" spans="1:53" ht="12.5"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row>
    <row r="724" spans="1:53" ht="12.5"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row>
    <row r="725" spans="1:53" ht="12.5"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row>
    <row r="726" spans="1:53" ht="12.5"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row>
    <row r="727" spans="1:53" ht="12.5"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row>
    <row r="728" spans="1:53" ht="12.5"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row>
    <row r="729" spans="1:53" ht="12.5"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row>
    <row r="730" spans="1:53" ht="12.5"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row>
    <row r="731" spans="1:53" ht="12.5"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row>
    <row r="732" spans="1:53" ht="12.5"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row>
    <row r="733" spans="1:53" ht="12.5"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row>
    <row r="734" spans="1:53" ht="12.5"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row>
    <row r="735" spans="1:53" ht="12.5"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row>
    <row r="736" spans="1:53" ht="12.5"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row>
    <row r="737" spans="1:53" ht="12.5"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row>
    <row r="738" spans="1:53" ht="12.5"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row>
    <row r="739" spans="1:53" ht="12.5"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row>
    <row r="740" spans="1:53" ht="12.5"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row>
    <row r="741" spans="1:53" ht="12.5"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row>
    <row r="742" spans="1:53" ht="12.5"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row>
    <row r="743" spans="1:53" ht="12.5"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row>
    <row r="744" spans="1:53" ht="12.5"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row>
    <row r="745" spans="1:53" ht="12.5"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row>
    <row r="746" spans="1:53" ht="12.5"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row>
    <row r="747" spans="1:53" ht="12.5"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row>
    <row r="748" spans="1:53" ht="12.5"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row>
    <row r="749" spans="1:53" ht="12.5"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row>
    <row r="750" spans="1:53" ht="12.5"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row>
    <row r="751" spans="1:53" ht="12.5"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row>
    <row r="752" spans="1:53" ht="12.5"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row>
    <row r="753" spans="1:53" ht="12.5"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row>
    <row r="754" spans="1:53" ht="12.5"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row>
    <row r="755" spans="1:53" ht="12.5"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row>
    <row r="756" spans="1:53" ht="12.5"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row>
    <row r="757" spans="1:53" ht="12.5"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row>
    <row r="758" spans="1:53" ht="12.5"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row>
    <row r="759" spans="1:53" ht="12.5"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row>
    <row r="760" spans="1:53" ht="12.5"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row>
    <row r="761" spans="1:53" ht="12.5"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row>
    <row r="762" spans="1:53" ht="12.5"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row>
    <row r="763" spans="1:53" ht="12.5"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row>
    <row r="764" spans="1:53" ht="12.5"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row>
    <row r="765" spans="1:53" ht="12.5"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row>
    <row r="766" spans="1:53" ht="12.5"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row>
    <row r="767" spans="1:53" ht="12.5"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row>
    <row r="768" spans="1:53" ht="12.5"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row>
    <row r="769" spans="1:53" ht="12.5"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row>
    <row r="770" spans="1:53" ht="12.5"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row>
    <row r="771" spans="1:53" ht="12.5"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row>
    <row r="772" spans="1:53" ht="12.5"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row>
    <row r="773" spans="1:53" ht="12.5"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row>
    <row r="774" spans="1:53" ht="12.5"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row>
    <row r="775" spans="1:53" ht="12.5"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row>
    <row r="776" spans="1:53" ht="12.5"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row>
    <row r="777" spans="1:53" ht="12.5"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row>
    <row r="778" spans="1:53" ht="12.5"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row>
    <row r="779" spans="1:53" ht="12.5"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row>
    <row r="780" spans="1:53" ht="12.5"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row>
    <row r="781" spans="1:53" ht="12.5"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row>
    <row r="782" spans="1:53" ht="12.5"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row>
    <row r="783" spans="1:53" ht="12.5"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row>
    <row r="784" spans="1:53" ht="12.5"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row>
    <row r="785" spans="1:53" ht="12.5"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row>
    <row r="786" spans="1:53" ht="12.5"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row>
    <row r="787" spans="1:53" ht="12.5"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row>
    <row r="788" spans="1:53" ht="12.5"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row>
    <row r="789" spans="1:53" ht="12.5"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row>
    <row r="790" spans="1:53" ht="12.5"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row>
    <row r="791" spans="1:53" ht="12.5"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row>
    <row r="792" spans="1:53" ht="12.5"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row>
    <row r="793" spans="1:53" ht="12.5"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row>
    <row r="794" spans="1:53" ht="12.5"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row>
    <row r="795" spans="1:53" ht="12.5"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row>
    <row r="796" spans="1:53" ht="12.5"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row>
    <row r="797" spans="1:53" ht="12.5"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row>
    <row r="798" spans="1:53" ht="12.5"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row>
    <row r="799" spans="1:53" ht="12.5"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row>
    <row r="800" spans="1:53" ht="12.5"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row>
    <row r="801" spans="1:53" ht="12.5"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row>
    <row r="802" spans="1:53" ht="12.5"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row>
    <row r="803" spans="1:53" ht="12.5"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row>
    <row r="804" spans="1:53" ht="12.5"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row>
    <row r="805" spans="1:53" ht="12.5"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row>
    <row r="806" spans="1:53" ht="12.5"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row>
    <row r="807" spans="1:53" ht="12.5"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row>
    <row r="808" spans="1:53" ht="12.5"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row>
    <row r="809" spans="1:53" ht="12.5"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row>
    <row r="810" spans="1:53" ht="12.5"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row>
    <row r="811" spans="1:53" ht="12.5"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row>
    <row r="812" spans="1:53" ht="12.5"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row>
    <row r="813" spans="1:53" ht="12.5"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row>
    <row r="814" spans="1:53" ht="12.5"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row>
    <row r="815" spans="1:53" ht="12.5"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row>
    <row r="816" spans="1:53" ht="12.5"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row>
    <row r="817" spans="1:53" ht="12.5"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row>
    <row r="818" spans="1:53" ht="12.5"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row>
    <row r="819" spans="1:53" ht="12.5"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row>
    <row r="820" spans="1:53" ht="12.5"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row>
    <row r="821" spans="1:53" ht="12.5"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row>
    <row r="822" spans="1:53" ht="12.5"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row>
    <row r="823" spans="1:53" ht="12.5"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row>
    <row r="824" spans="1:53" ht="12.5"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row>
    <row r="825" spans="1:53" ht="12.5"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row>
    <row r="826" spans="1:53" ht="12.5"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row>
    <row r="827" spans="1:53" ht="12.5"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row>
    <row r="828" spans="1:53" ht="12.5"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row>
    <row r="829" spans="1:53" ht="12.5"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row>
    <row r="830" spans="1:53" ht="12.5"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row>
    <row r="831" spans="1:53" ht="12.5"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row>
    <row r="832" spans="1:53" ht="12.5"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row>
    <row r="833" spans="1:53" ht="12.5"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row>
    <row r="834" spans="1:53" ht="12.5"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row>
    <row r="835" spans="1:53" ht="12.5"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row>
    <row r="836" spans="1:53" ht="12.5"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row>
    <row r="837" spans="1:53" ht="12.5"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row>
    <row r="838" spans="1:53" ht="12.5"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row>
    <row r="839" spans="1:53" ht="12.5"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row>
    <row r="840" spans="1:53" ht="12.5"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row>
    <row r="841" spans="1:53" ht="12.5"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row>
    <row r="842" spans="1:53" ht="12.5"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row>
    <row r="843" spans="1:53" ht="12.5"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row>
    <row r="844" spans="1:53" ht="12.5"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row>
    <row r="845" spans="1:53" ht="12.5"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row>
    <row r="846" spans="1:53" ht="12.5"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row>
    <row r="847" spans="1:53" ht="12.5"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row>
    <row r="848" spans="1:53" ht="12.5"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row>
    <row r="849" spans="1:53" ht="12.5"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row>
    <row r="850" spans="1:53" ht="12.5"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row>
    <row r="851" spans="1:53" ht="12.5"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row>
    <row r="852" spans="1:53" ht="12.5"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row>
    <row r="853" spans="1:53" ht="12.5"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row>
    <row r="854" spans="1:53" ht="12.5"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row>
    <row r="855" spans="1:53" ht="12.5"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row>
    <row r="856" spans="1:53" ht="12.5"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row>
    <row r="857" spans="1:53" ht="12.5"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row>
    <row r="858" spans="1:53" ht="12.5"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row>
    <row r="859" spans="1:53" ht="12.5"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row>
    <row r="860" spans="1:53" ht="12.5"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row>
    <row r="861" spans="1:53" ht="12.5"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row>
    <row r="862" spans="1:53" ht="12.5"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row>
    <row r="863" spans="1:53" ht="12.5"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row>
    <row r="864" spans="1:53" ht="12.5"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row>
    <row r="865" spans="1:53" ht="12.5"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row>
    <row r="866" spans="1:53" ht="12.5"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row>
    <row r="867" spans="1:53" ht="12.5"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row>
    <row r="868" spans="1:53" ht="12.5"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row>
    <row r="869" spans="1:53" ht="12.5"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row>
    <row r="870" spans="1:53" ht="12.5"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row>
    <row r="871" spans="1:53" ht="12.5"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row>
    <row r="872" spans="1:53" ht="12.5"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row>
    <row r="873" spans="1:53" ht="12.5"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row>
    <row r="874" spans="1:53" ht="12.5"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row>
    <row r="875" spans="1:53" ht="12.5"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row>
    <row r="876" spans="1:53" ht="12.5"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row>
    <row r="877" spans="1:53" ht="12.5"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row>
    <row r="878" spans="1:53" ht="12.5"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row>
    <row r="879" spans="1:53" ht="12.5"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row>
    <row r="880" spans="1:53" ht="12.5"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row>
    <row r="881" spans="1:53" ht="12.5"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row>
    <row r="882" spans="1:53" ht="12.5"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row>
    <row r="883" spans="1:53" ht="12.5"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row>
    <row r="884" spans="1:53" ht="12.5"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row>
    <row r="885" spans="1:53" ht="12.5"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row>
    <row r="886" spans="1:53" ht="12.5"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row>
    <row r="887" spans="1:53" ht="12.5"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row>
    <row r="888" spans="1:53" ht="12.5"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row>
    <row r="889" spans="1:53" ht="12.5"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row>
    <row r="890" spans="1:53" ht="12.5"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row>
    <row r="891" spans="1:53" ht="12.5"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row>
    <row r="892" spans="1:53" ht="12.5"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row>
    <row r="893" spans="1:53" ht="12.5"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row>
    <row r="894" spans="1:53" ht="12.5"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row>
    <row r="895" spans="1:53" ht="12.5"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row>
    <row r="896" spans="1:53" ht="12.5"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row>
    <row r="897" spans="1:53" ht="12.5"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row>
    <row r="898" spans="1:53" ht="12.5"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row>
    <row r="899" spans="1:53" ht="12.5"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row>
    <row r="900" spans="1:53" ht="12.5"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row>
    <row r="901" spans="1:53" ht="12.5"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row>
    <row r="902" spans="1:53" ht="12.5"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row>
    <row r="903" spans="1:53" ht="12.5"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row>
    <row r="904" spans="1:53" ht="12.5"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row>
    <row r="905" spans="1:53" ht="12.5"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row>
    <row r="906" spans="1:53" ht="12.5"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row>
    <row r="907" spans="1:53" ht="12.5"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row>
    <row r="908" spans="1:53" ht="12.5"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row>
    <row r="909" spans="1:53" ht="12.5"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row>
    <row r="910" spans="1:53" ht="12.5"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row>
    <row r="911" spans="1:53" ht="12.5"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row>
    <row r="912" spans="1:53" ht="12.5"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row>
    <row r="913" spans="1:53" ht="12.5"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row>
    <row r="914" spans="1:53" ht="12.5"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row>
    <row r="915" spans="1:53" ht="12.5"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row>
    <row r="916" spans="1:53" ht="12.5"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row>
    <row r="917" spans="1:53" ht="12.5"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row>
    <row r="918" spans="1:53" ht="12.5"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row>
    <row r="919" spans="1:53" ht="12.5"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row>
    <row r="920" spans="1:53" ht="12.5"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row>
    <row r="921" spans="1:53" ht="12.5"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row>
    <row r="922" spans="1:53" ht="12.5"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row>
    <row r="923" spans="1:53" ht="12.5"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row>
    <row r="924" spans="1:53" ht="12.5"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row>
    <row r="925" spans="1:53" ht="12.5"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row>
    <row r="926" spans="1:53" ht="12.5"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row>
    <row r="927" spans="1:53" ht="12.5"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row>
    <row r="928" spans="1:53" ht="12.5"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row>
    <row r="929" spans="1:53" ht="12.5"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row>
    <row r="930" spans="1:53" ht="12.5"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row>
    <row r="931" spans="1:53" ht="12.5"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row>
    <row r="932" spans="1:53" ht="12.5"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row>
    <row r="933" spans="1:53" ht="12.5"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row>
    <row r="934" spans="1:53" ht="12.5"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row>
    <row r="935" spans="1:53" ht="12.5"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row>
    <row r="936" spans="1:53" ht="12.5"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row>
    <row r="937" spans="1:53" ht="12.5"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row>
    <row r="938" spans="1:53" ht="12.5"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row>
    <row r="939" spans="1:53" ht="12.5"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row>
    <row r="940" spans="1:53" ht="12.5"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row>
    <row r="941" spans="1:53" ht="12.5"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row>
    <row r="942" spans="1:53" ht="12.5"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row>
    <row r="943" spans="1:53" ht="12.5"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row>
    <row r="944" spans="1:53" ht="12.5"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row>
    <row r="945" spans="1:53" ht="12.5"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row>
    <row r="946" spans="1:53" ht="12.5"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row>
    <row r="947" spans="1:53" ht="12.5"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row>
    <row r="948" spans="1:53" ht="12.5"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row>
    <row r="949" spans="1:53" ht="12.5"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row>
    <row r="950" spans="1:53" ht="12.5"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row>
    <row r="951" spans="1:53" ht="12.5"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row>
    <row r="952" spans="1:53" ht="12.5"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row>
    <row r="953" spans="1:53" ht="12.5"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row>
    <row r="954" spans="1:53" ht="12.5"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row>
    <row r="955" spans="1:53" ht="12.5"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row>
    <row r="956" spans="1:53" ht="12.5"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row>
    <row r="957" spans="1:53" ht="12.5"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row>
    <row r="958" spans="1:53" ht="12.5"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row>
    <row r="959" spans="1:53" ht="12.5"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row>
    <row r="960" spans="1:53" ht="12.5"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row>
    <row r="961" spans="1:53" ht="12.5"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row>
    <row r="962" spans="1:53" ht="12.5"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row>
    <row r="963" spans="1:53" ht="12.5"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row>
    <row r="964" spans="1:53" ht="12.5"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row>
    <row r="965" spans="1:53" ht="12.5"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row>
    <row r="966" spans="1:53" ht="12.5"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row>
    <row r="967" spans="1:53" ht="12.5"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row>
    <row r="968" spans="1:53" ht="12.5"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row>
    <row r="969" spans="1:53" ht="12.5"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row>
    <row r="970" spans="1:53" ht="12.5"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row>
    <row r="971" spans="1:53" ht="12.5"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row>
    <row r="972" spans="1:53" ht="12.5"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row>
    <row r="973" spans="1:53" ht="12.5"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row>
    <row r="974" spans="1:53" ht="12.5"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row>
    <row r="975" spans="1:53" ht="12.5"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row>
    <row r="976" spans="1:53" ht="12.5"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row>
    <row r="977" spans="1:53" ht="12.5"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row>
    <row r="978" spans="1:53" ht="12.5"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row>
    <row r="979" spans="1:53" ht="12.5"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row>
    <row r="980" spans="1:53" ht="12.5"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row>
    <row r="981" spans="1:53" ht="12.5"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row>
    <row r="982" spans="1:53" ht="12.5"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row>
    <row r="983" spans="1:53" ht="12.5"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row>
    <row r="984" spans="1:53" ht="12.5"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row>
    <row r="985" spans="1:53" ht="12.5"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row>
    <row r="986" spans="1:53" ht="12.5"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row>
    <row r="987" spans="1:53" ht="12.5"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row>
    <row r="988" spans="1:53" ht="12.5"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row>
    <row r="989" spans="1:53" ht="12.5"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row>
    <row r="990" spans="1:53" ht="12.5"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row>
    <row r="991" spans="1:53" ht="12.5"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row>
    <row r="992" spans="1:53" ht="12.5"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row>
    <row r="993" spans="1:53" ht="12.5"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row>
    <row r="994" spans="1:53" ht="12.5"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row>
    <row r="995" spans="1:53" ht="12.5"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row>
    <row r="996" spans="1:53" ht="12.5"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row>
    <row r="997" spans="1:53" ht="12.5"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row>
    <row r="998" spans="1:53" ht="12.5"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row>
    <row r="999" spans="1:53" ht="12.5"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row>
    <row r="1000" spans="1:53" ht="12.5"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row>
  </sheetData>
  <mergeCells count="1">
    <mergeCell ref="C1:F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workbookViewId="0">
      <selection activeCell="L20" sqref="L20"/>
    </sheetView>
  </sheetViews>
  <sheetFormatPr defaultColWidth="12.6328125" defaultRowHeight="15.75" customHeight="1" x14ac:dyDescent="0.25"/>
  <cols>
    <col min="1" max="26" width="12.6328125" customWidth="1"/>
  </cols>
  <sheetData>
    <row r="1" spans="1:3" ht="15.75" customHeight="1" x14ac:dyDescent="0.3">
      <c r="A1" s="1" t="s">
        <v>0</v>
      </c>
      <c r="B1" s="1" t="s">
        <v>1</v>
      </c>
      <c r="C1" s="1" t="s">
        <v>2</v>
      </c>
    </row>
    <row r="2" spans="1:3" ht="15.75" customHeight="1" x14ac:dyDescent="0.25">
      <c r="A2" s="2">
        <v>1</v>
      </c>
      <c r="B2" s="19">
        <v>69564</v>
      </c>
      <c r="C2" s="19">
        <v>18371</v>
      </c>
    </row>
    <row r="3" spans="1:3" ht="15.75" customHeight="1" x14ac:dyDescent="0.25">
      <c r="A3" s="2">
        <v>2</v>
      </c>
      <c r="B3" s="19">
        <v>76343</v>
      </c>
      <c r="C3" s="19">
        <v>15828</v>
      </c>
    </row>
    <row r="4" spans="1:3" ht="15.75" customHeight="1" x14ac:dyDescent="0.25">
      <c r="A4" s="2">
        <v>3</v>
      </c>
      <c r="B4" s="19">
        <v>85978</v>
      </c>
      <c r="C4" s="19">
        <v>17045</v>
      </c>
    </row>
    <row r="5" spans="1:3" ht="15.75" customHeight="1" x14ac:dyDescent="0.25">
      <c r="A5" s="2">
        <v>4</v>
      </c>
      <c r="B5" s="19">
        <v>94725</v>
      </c>
      <c r="C5" s="19">
        <v>18451</v>
      </c>
    </row>
    <row r="6" spans="1:3" ht="15.75" customHeight="1" x14ac:dyDescent="0.25">
      <c r="A6" s="2">
        <v>5</v>
      </c>
      <c r="B6" s="19">
        <v>102012</v>
      </c>
      <c r="C6" s="19">
        <v>17739</v>
      </c>
    </row>
    <row r="7" spans="1:3" ht="15.75" customHeight="1" x14ac:dyDescent="0.25">
      <c r="A7" s="2">
        <v>6</v>
      </c>
      <c r="B7" s="19">
        <v>104104</v>
      </c>
      <c r="C7" s="19">
        <v>14051</v>
      </c>
    </row>
    <row r="8" spans="1:3" ht="15.75" customHeight="1" x14ac:dyDescent="0.25">
      <c r="A8" s="2">
        <v>7</v>
      </c>
      <c r="B8" s="19">
        <v>107940</v>
      </c>
      <c r="C8" s="19">
        <v>13354</v>
      </c>
    </row>
    <row r="9" spans="1:3" ht="15.75" customHeight="1" x14ac:dyDescent="0.25">
      <c r="A9" s="2">
        <v>8</v>
      </c>
      <c r="B9" s="19">
        <v>111561</v>
      </c>
      <c r="C9" s="19">
        <v>13102</v>
      </c>
    </row>
    <row r="10" spans="1:3" ht="15.75" customHeight="1" x14ac:dyDescent="0.25">
      <c r="A10" s="2">
        <v>9</v>
      </c>
      <c r="B10" s="19">
        <v>116495</v>
      </c>
      <c r="C10" s="19">
        <v>13502</v>
      </c>
    </row>
    <row r="11" spans="1:3" ht="15.75" customHeight="1" x14ac:dyDescent="0.25">
      <c r="A11" s="2">
        <v>10</v>
      </c>
      <c r="B11" s="19">
        <v>134198</v>
      </c>
      <c r="C11" s="19">
        <v>21946</v>
      </c>
    </row>
    <row r="12" spans="1:3" ht="15.75" customHeight="1" x14ac:dyDescent="0.25">
      <c r="A12" s="2">
        <v>11</v>
      </c>
      <c r="B12" s="19">
        <v>142446</v>
      </c>
      <c r="C12" s="19">
        <v>18709</v>
      </c>
    </row>
    <row r="13" spans="1:3" ht="15.75" customHeight="1" x14ac:dyDescent="0.25">
      <c r="A13" s="2">
        <v>12</v>
      </c>
      <c r="B13" s="19">
        <v>134965</v>
      </c>
      <c r="C13" s="19">
        <v>14362</v>
      </c>
    </row>
    <row r="14" spans="1:3" ht="15.75" customHeight="1" x14ac:dyDescent="0.25">
      <c r="A14" s="2">
        <v>13</v>
      </c>
      <c r="B14" s="19">
        <v>128583</v>
      </c>
      <c r="C14" s="19">
        <v>11567</v>
      </c>
    </row>
    <row r="15" spans="1:3" ht="15.75" customHeight="1" x14ac:dyDescent="0.25">
      <c r="A15" s="2">
        <v>14</v>
      </c>
      <c r="B15" s="19">
        <v>132616</v>
      </c>
      <c r="C15" s="19">
        <v>14311</v>
      </c>
    </row>
    <row r="16" spans="1:3" ht="15.75" customHeight="1" x14ac:dyDescent="0.25">
      <c r="A16" s="2">
        <v>15</v>
      </c>
      <c r="B16" s="19">
        <v>136457</v>
      </c>
      <c r="C16" s="19">
        <v>27968</v>
      </c>
    </row>
    <row r="17" spans="1:3" ht="15.75" customHeight="1" x14ac:dyDescent="0.25">
      <c r="A17" s="2">
        <v>16</v>
      </c>
      <c r="B17" s="19">
        <v>142782</v>
      </c>
      <c r="C17" s="19">
        <v>14336</v>
      </c>
    </row>
    <row r="18" spans="1:3" ht="15.75" customHeight="1" x14ac:dyDescent="0.25">
      <c r="A18" s="2">
        <v>17</v>
      </c>
      <c r="B18" s="19">
        <v>149274</v>
      </c>
      <c r="C18" s="19">
        <v>14565</v>
      </c>
    </row>
    <row r="19" spans="1:3" ht="15.75" customHeight="1" x14ac:dyDescent="0.25">
      <c r="A19" s="2">
        <v>18</v>
      </c>
      <c r="B19" s="19">
        <v>155808</v>
      </c>
      <c r="C19" s="19">
        <v>14603</v>
      </c>
    </row>
    <row r="20" spans="1:3" ht="15.75" customHeight="1" x14ac:dyDescent="0.25">
      <c r="A20" s="2">
        <v>19</v>
      </c>
      <c r="B20" s="19">
        <v>165820</v>
      </c>
      <c r="C20" s="19">
        <v>18337</v>
      </c>
    </row>
    <row r="21" spans="1:3" ht="15.75" customHeight="1" x14ac:dyDescent="0.25">
      <c r="A21" s="2">
        <v>20</v>
      </c>
      <c r="B21" s="19">
        <v>177063</v>
      </c>
      <c r="C21" s="19">
        <v>24753</v>
      </c>
    </row>
    <row r="22" spans="1:3" ht="15.75" customHeight="1" x14ac:dyDescent="0.25">
      <c r="A22" s="2">
        <v>21</v>
      </c>
      <c r="B22" s="19">
        <v>184931</v>
      </c>
      <c r="C22" s="19">
        <v>24263</v>
      </c>
    </row>
    <row r="23" spans="1:3" ht="15.75" customHeight="1" x14ac:dyDescent="0.25">
      <c r="A23" s="2">
        <v>22</v>
      </c>
      <c r="B23" s="19">
        <v>188171</v>
      </c>
      <c r="C23" s="19">
        <v>21213</v>
      </c>
    </row>
    <row r="24" spans="1:3" ht="15.75" customHeight="1" x14ac:dyDescent="0.25">
      <c r="A24" s="2">
        <v>23</v>
      </c>
      <c r="B24" s="19">
        <v>197678</v>
      </c>
      <c r="C24" s="19">
        <v>24364</v>
      </c>
    </row>
    <row r="25" spans="1:3" ht="15.75" customHeight="1" x14ac:dyDescent="0.25">
      <c r="A25" s="2">
        <v>24</v>
      </c>
      <c r="B25" s="19">
        <v>209092</v>
      </c>
      <c r="C25" s="19">
        <v>30330</v>
      </c>
    </row>
    <row r="26" spans="1:3" ht="15.75" customHeight="1" x14ac:dyDescent="0.25">
      <c r="A26" s="2">
        <v>25</v>
      </c>
      <c r="B26" s="19">
        <v>221556</v>
      </c>
      <c r="C26" s="19">
        <v>31688</v>
      </c>
    </row>
    <row r="27" spans="1:3" ht="15.75" customHeight="1" x14ac:dyDescent="0.25">
      <c r="A27" s="2">
        <v>26</v>
      </c>
      <c r="B27" s="19">
        <v>222738</v>
      </c>
      <c r="C27" s="19">
        <v>28800</v>
      </c>
    </row>
    <row r="28" spans="1:3" ht="12.5" x14ac:dyDescent="0.25">
      <c r="A28" s="2">
        <v>27</v>
      </c>
      <c r="B28" s="19">
        <v>222133</v>
      </c>
      <c r="C28" s="19">
        <v>26140</v>
      </c>
    </row>
    <row r="29" spans="1:3" ht="12.5" x14ac:dyDescent="0.25">
      <c r="A29" s="2">
        <v>28</v>
      </c>
      <c r="B29" s="19">
        <v>223426</v>
      </c>
      <c r="C29" s="19">
        <v>26366</v>
      </c>
    </row>
    <row r="30" spans="1:3" ht="12.5" x14ac:dyDescent="0.25">
      <c r="A30" s="2">
        <v>29</v>
      </c>
      <c r="B30" s="19">
        <v>239906</v>
      </c>
      <c r="C30" s="19">
        <v>27664</v>
      </c>
    </row>
    <row r="31" spans="1:3" ht="12.5" x14ac:dyDescent="0.25">
      <c r="A31" s="2">
        <v>30</v>
      </c>
      <c r="B31" s="19">
        <v>247428</v>
      </c>
      <c r="C31" s="19">
        <v>27814</v>
      </c>
    </row>
    <row r="32" spans="1:3" ht="12.5" x14ac:dyDescent="0.25">
      <c r="A32" s="2">
        <v>31</v>
      </c>
      <c r="B32" s="19">
        <v>254670</v>
      </c>
      <c r="C32" s="19">
        <v>26498</v>
      </c>
    </row>
    <row r="33" spans="1:3" ht="12.5" x14ac:dyDescent="0.25">
      <c r="A33" s="2">
        <v>32</v>
      </c>
      <c r="B33" s="19">
        <v>263353</v>
      </c>
      <c r="C33" s="19">
        <v>26927</v>
      </c>
    </row>
    <row r="34" spans="1:3" ht="12.5" x14ac:dyDescent="0.25">
      <c r="A34" s="2">
        <v>33</v>
      </c>
      <c r="B34" s="19">
        <v>273532</v>
      </c>
      <c r="C34" s="19">
        <v>30221</v>
      </c>
    </row>
    <row r="35" spans="1:3" ht="12.5" x14ac:dyDescent="0.25">
      <c r="A35" s="2">
        <v>34</v>
      </c>
      <c r="B35" s="19">
        <v>281868</v>
      </c>
      <c r="C35" s="19">
        <v>28525</v>
      </c>
    </row>
    <row r="36" spans="1:3" ht="12.5" x14ac:dyDescent="0.25">
      <c r="A36" s="2">
        <v>35</v>
      </c>
      <c r="B36" s="19">
        <v>280392</v>
      </c>
      <c r="C36" s="19">
        <v>24252</v>
      </c>
    </row>
    <row r="37" spans="1:3" ht="12.5" x14ac:dyDescent="0.25">
      <c r="A37" s="2">
        <v>36</v>
      </c>
      <c r="B37" s="19">
        <v>276711</v>
      </c>
      <c r="C37" s="19">
        <v>22074</v>
      </c>
    </row>
    <row r="38" spans="1:3" ht="12.5" x14ac:dyDescent="0.25">
      <c r="A38" s="2">
        <v>37</v>
      </c>
      <c r="B38" s="19">
        <v>287348</v>
      </c>
      <c r="C38" s="19">
        <v>28741</v>
      </c>
    </row>
    <row r="39" spans="1:3" ht="12.5" x14ac:dyDescent="0.25">
      <c r="A39" s="2">
        <v>38</v>
      </c>
      <c r="B39" s="19">
        <v>290579</v>
      </c>
      <c r="C39" s="19">
        <v>28848</v>
      </c>
    </row>
    <row r="40" spans="1:3" ht="12.5" x14ac:dyDescent="0.25">
      <c r="A40" s="2">
        <v>39</v>
      </c>
      <c r="B40" s="19">
        <v>293688</v>
      </c>
      <c r="C40" s="19">
        <v>29262</v>
      </c>
    </row>
    <row r="41" spans="1:3" ht="12.5" x14ac:dyDescent="0.25">
      <c r="A41" s="2">
        <v>40</v>
      </c>
      <c r="B41" s="19">
        <v>290068</v>
      </c>
      <c r="C41" s="19">
        <v>25293</v>
      </c>
    </row>
    <row r="42" spans="1:3" ht="12.5" x14ac:dyDescent="0.25">
      <c r="A42" s="2">
        <v>41</v>
      </c>
      <c r="B42" s="19">
        <v>287257</v>
      </c>
      <c r="C42" s="19">
        <v>24277</v>
      </c>
    </row>
    <row r="43" spans="1:3" ht="12.5" x14ac:dyDescent="0.25">
      <c r="A43" s="2">
        <v>42</v>
      </c>
      <c r="B43" s="19">
        <v>286578</v>
      </c>
      <c r="C43" s="19">
        <v>24460</v>
      </c>
    </row>
    <row r="44" spans="1:3" ht="12.5" x14ac:dyDescent="0.25">
      <c r="A44" s="2">
        <v>43</v>
      </c>
      <c r="B44" s="19">
        <v>291486</v>
      </c>
      <c r="C44" s="19">
        <v>24301</v>
      </c>
    </row>
    <row r="45" spans="1:3" ht="12.5" x14ac:dyDescent="0.25">
      <c r="A45" s="2">
        <v>44</v>
      </c>
      <c r="B45" s="19">
        <v>290532</v>
      </c>
      <c r="C45" s="19">
        <v>23612</v>
      </c>
    </row>
    <row r="46" spans="1:3" ht="12.5" x14ac:dyDescent="0.25">
      <c r="A46" s="3"/>
      <c r="B46" s="2"/>
    </row>
    <row r="47" spans="1:3" ht="12.5" x14ac:dyDescent="0.25">
      <c r="A47" s="3"/>
      <c r="B47" s="2"/>
    </row>
    <row r="48" spans="1:3" ht="12.5" x14ac:dyDescent="0.25">
      <c r="A48" s="3"/>
      <c r="B48" s="2"/>
    </row>
    <row r="49" spans="1:2" ht="12.5" x14ac:dyDescent="0.25">
      <c r="A49" s="3"/>
      <c r="B49" s="2"/>
    </row>
    <row r="50" spans="1:2" ht="12.5" x14ac:dyDescent="0.25">
      <c r="A50" s="3"/>
      <c r="B50" s="2"/>
    </row>
    <row r="51" spans="1:2" ht="12.5" x14ac:dyDescent="0.25">
      <c r="A51" s="3"/>
      <c r="B51" s="2"/>
    </row>
    <row r="52" spans="1:2" ht="12.5" x14ac:dyDescent="0.25">
      <c r="A52" s="3"/>
      <c r="B52" s="2"/>
    </row>
    <row r="53" spans="1:2" ht="12.5" x14ac:dyDescent="0.25">
      <c r="A53" s="2"/>
      <c r="B53" s="2"/>
    </row>
    <row r="54" spans="1:2" ht="12.5" x14ac:dyDescent="0.25">
      <c r="A54" s="2"/>
      <c r="B54" s="2"/>
    </row>
    <row r="55" spans="1:2" ht="12.5" x14ac:dyDescent="0.25">
      <c r="A55" s="2"/>
      <c r="B55" s="2"/>
    </row>
    <row r="56" spans="1:2" ht="12.5" x14ac:dyDescent="0.25">
      <c r="A56" s="2"/>
      <c r="B56" s="2"/>
    </row>
    <row r="57" spans="1:2" ht="12.5" x14ac:dyDescent="0.25"/>
    <row r="58" spans="1:2" ht="12.5" x14ac:dyDescent="0.25"/>
    <row r="59" spans="1:2" ht="12.5" x14ac:dyDescent="0.25"/>
    <row r="60" spans="1:2" ht="12.5" x14ac:dyDescent="0.25"/>
    <row r="61" spans="1:2" ht="12.5" x14ac:dyDescent="0.25"/>
    <row r="62" spans="1:2" ht="12.5" x14ac:dyDescent="0.25"/>
    <row r="63" spans="1:2" ht="12.5" x14ac:dyDescent="0.25"/>
    <row r="64" spans="1:2" ht="12.5" x14ac:dyDescent="0.25"/>
    <row r="65" ht="12.5" x14ac:dyDescent="0.25"/>
    <row r="66" ht="12.5" x14ac:dyDescent="0.25"/>
    <row r="67" ht="12.5" x14ac:dyDescent="0.25"/>
    <row r="68" ht="12.5" x14ac:dyDescent="0.25"/>
    <row r="69" ht="12.5" x14ac:dyDescent="0.25"/>
    <row r="70" ht="12.5" x14ac:dyDescent="0.25"/>
    <row r="71" ht="12.5" x14ac:dyDescent="0.25"/>
    <row r="72" ht="12.5" x14ac:dyDescent="0.25"/>
    <row r="73" ht="12.5" x14ac:dyDescent="0.25"/>
    <row r="74" ht="12.5" x14ac:dyDescent="0.25"/>
    <row r="75" ht="12.5" x14ac:dyDescent="0.25"/>
    <row r="76" ht="12.5" x14ac:dyDescent="0.25"/>
    <row r="77" ht="12.5" x14ac:dyDescent="0.25"/>
    <row r="78" ht="12.5" x14ac:dyDescent="0.25"/>
    <row r="79" ht="12.5" x14ac:dyDescent="0.25"/>
    <row r="80" ht="12.5" x14ac:dyDescent="0.25"/>
    <row r="81" ht="12.5" x14ac:dyDescent="0.25"/>
    <row r="82" ht="12.5" x14ac:dyDescent="0.25"/>
    <row r="83" ht="12.5" x14ac:dyDescent="0.25"/>
    <row r="84" ht="12.5" x14ac:dyDescent="0.25"/>
    <row r="85" ht="12.5" x14ac:dyDescent="0.25"/>
    <row r="86" ht="12.5" x14ac:dyDescent="0.25"/>
    <row r="87" ht="12.5" x14ac:dyDescent="0.25"/>
    <row r="88" ht="12.5" x14ac:dyDescent="0.25"/>
    <row r="89" ht="12.5" x14ac:dyDescent="0.25"/>
    <row r="90" ht="12.5" x14ac:dyDescent="0.25"/>
    <row r="91" ht="12.5" x14ac:dyDescent="0.25"/>
    <row r="92" ht="12.5" x14ac:dyDescent="0.25"/>
    <row r="93" ht="12.5" x14ac:dyDescent="0.25"/>
    <row r="94" ht="12.5" x14ac:dyDescent="0.25"/>
    <row r="95" ht="12.5" x14ac:dyDescent="0.25"/>
    <row r="96" ht="12.5" x14ac:dyDescent="0.25"/>
    <row r="97" ht="12.5" x14ac:dyDescent="0.25"/>
    <row r="98" ht="12.5" x14ac:dyDescent="0.25"/>
    <row r="99" ht="12.5" x14ac:dyDescent="0.25"/>
    <row r="100" ht="12.5" x14ac:dyDescent="0.25"/>
    <row r="101" ht="12.5" x14ac:dyDescent="0.25"/>
    <row r="102" ht="12.5" x14ac:dyDescent="0.25"/>
    <row r="103" ht="12.5" x14ac:dyDescent="0.25"/>
    <row r="104" ht="12.5" x14ac:dyDescent="0.25"/>
    <row r="105" ht="12.5" x14ac:dyDescent="0.25"/>
    <row r="106" ht="12.5" x14ac:dyDescent="0.25"/>
    <row r="107" ht="12.5" x14ac:dyDescent="0.25"/>
    <row r="108" ht="12.5" x14ac:dyDescent="0.25"/>
    <row r="109" ht="12.5" x14ac:dyDescent="0.25"/>
    <row r="110" ht="12.5" x14ac:dyDescent="0.25"/>
    <row r="111" ht="12.5" x14ac:dyDescent="0.25"/>
    <row r="112" ht="12.5" x14ac:dyDescent="0.25"/>
    <row r="113" ht="12.5" x14ac:dyDescent="0.25"/>
    <row r="114" ht="12.5" x14ac:dyDescent="0.25"/>
    <row r="115" ht="12.5" x14ac:dyDescent="0.25"/>
    <row r="116" ht="12.5" x14ac:dyDescent="0.25"/>
    <row r="117" ht="12.5" x14ac:dyDescent="0.25"/>
    <row r="118" ht="12.5" x14ac:dyDescent="0.25"/>
    <row r="119" ht="12.5" x14ac:dyDescent="0.25"/>
    <row r="120" ht="12.5" x14ac:dyDescent="0.25"/>
    <row r="121" ht="12.5" x14ac:dyDescent="0.25"/>
    <row r="122" ht="12.5" x14ac:dyDescent="0.25"/>
    <row r="123" ht="12.5" x14ac:dyDescent="0.25"/>
    <row r="124" ht="12.5" x14ac:dyDescent="0.25"/>
    <row r="125" ht="12.5" x14ac:dyDescent="0.25"/>
    <row r="126" ht="12.5" x14ac:dyDescent="0.25"/>
    <row r="127" ht="12.5" x14ac:dyDescent="0.25"/>
    <row r="128" ht="12.5" x14ac:dyDescent="0.25"/>
    <row r="129" ht="12.5" x14ac:dyDescent="0.25"/>
    <row r="130" ht="12.5" x14ac:dyDescent="0.25"/>
    <row r="131" ht="12.5" x14ac:dyDescent="0.25"/>
    <row r="132" ht="12.5" x14ac:dyDescent="0.25"/>
    <row r="133" ht="12.5" x14ac:dyDescent="0.25"/>
    <row r="134" ht="12.5" x14ac:dyDescent="0.25"/>
    <row r="135" ht="12.5" x14ac:dyDescent="0.25"/>
    <row r="136" ht="12.5" x14ac:dyDescent="0.25"/>
    <row r="137" ht="12.5" x14ac:dyDescent="0.25"/>
    <row r="138" ht="12.5" x14ac:dyDescent="0.25"/>
    <row r="139" ht="12.5" x14ac:dyDescent="0.25"/>
    <row r="140" ht="12.5" x14ac:dyDescent="0.25"/>
    <row r="141" ht="12.5" x14ac:dyDescent="0.25"/>
    <row r="142" ht="12.5" x14ac:dyDescent="0.25"/>
    <row r="143" ht="12.5" x14ac:dyDescent="0.25"/>
    <row r="144" ht="12.5" x14ac:dyDescent="0.25"/>
    <row r="145" ht="12.5" x14ac:dyDescent="0.25"/>
    <row r="146" ht="12.5" x14ac:dyDescent="0.25"/>
    <row r="147" ht="12.5" x14ac:dyDescent="0.25"/>
    <row r="148" ht="12.5" x14ac:dyDescent="0.25"/>
    <row r="149" ht="12.5" x14ac:dyDescent="0.25"/>
    <row r="150" ht="12.5" x14ac:dyDescent="0.25"/>
    <row r="151" ht="12.5" x14ac:dyDescent="0.25"/>
    <row r="152" ht="12.5" x14ac:dyDescent="0.25"/>
    <row r="153" ht="12.5" x14ac:dyDescent="0.25"/>
    <row r="154" ht="12.5" x14ac:dyDescent="0.25"/>
    <row r="155" ht="12.5" x14ac:dyDescent="0.25"/>
    <row r="156" ht="12.5" x14ac:dyDescent="0.25"/>
    <row r="157" ht="12.5" x14ac:dyDescent="0.25"/>
    <row r="158" ht="12.5" x14ac:dyDescent="0.25"/>
    <row r="159" ht="12.5" x14ac:dyDescent="0.25"/>
    <row r="160" ht="12.5" x14ac:dyDescent="0.25"/>
    <row r="161" ht="12.5" x14ac:dyDescent="0.25"/>
    <row r="162" ht="12.5" x14ac:dyDescent="0.25"/>
    <row r="163" ht="12.5" x14ac:dyDescent="0.25"/>
    <row r="164" ht="12.5" x14ac:dyDescent="0.25"/>
    <row r="165" ht="12.5" x14ac:dyDescent="0.25"/>
    <row r="166" ht="12.5" x14ac:dyDescent="0.25"/>
    <row r="167" ht="12.5" x14ac:dyDescent="0.25"/>
    <row r="168" ht="12.5" x14ac:dyDescent="0.25"/>
    <row r="169" ht="12.5" x14ac:dyDescent="0.25"/>
    <row r="170" ht="12.5" x14ac:dyDescent="0.25"/>
    <row r="171" ht="12.5" x14ac:dyDescent="0.25"/>
    <row r="172" ht="12.5" x14ac:dyDescent="0.25"/>
    <row r="173" ht="12.5" x14ac:dyDescent="0.25"/>
    <row r="174" ht="12.5" x14ac:dyDescent="0.25"/>
    <row r="175" ht="12.5" x14ac:dyDescent="0.25"/>
    <row r="176" ht="12.5" x14ac:dyDescent="0.25"/>
    <row r="177" ht="12.5" x14ac:dyDescent="0.25"/>
    <row r="178" ht="12.5" x14ac:dyDescent="0.25"/>
    <row r="179" ht="12.5" x14ac:dyDescent="0.25"/>
    <row r="180" ht="12.5" x14ac:dyDescent="0.25"/>
    <row r="181" ht="12.5" x14ac:dyDescent="0.25"/>
    <row r="182" ht="12.5" x14ac:dyDescent="0.25"/>
    <row r="183" ht="12.5" x14ac:dyDescent="0.25"/>
    <row r="184" ht="12.5" x14ac:dyDescent="0.25"/>
    <row r="185" ht="12.5" x14ac:dyDescent="0.25"/>
    <row r="186" ht="12.5" x14ac:dyDescent="0.25"/>
    <row r="187" ht="12.5" x14ac:dyDescent="0.25"/>
    <row r="188" ht="12.5" x14ac:dyDescent="0.25"/>
    <row r="189" ht="12.5" x14ac:dyDescent="0.25"/>
    <row r="190" ht="12.5" x14ac:dyDescent="0.25"/>
    <row r="191" ht="12.5" x14ac:dyDescent="0.25"/>
    <row r="192" ht="12.5" x14ac:dyDescent="0.25"/>
    <row r="193" ht="12.5" x14ac:dyDescent="0.25"/>
    <row r="194" ht="12.5" x14ac:dyDescent="0.25"/>
    <row r="195" ht="12.5" x14ac:dyDescent="0.25"/>
    <row r="196" ht="12.5" x14ac:dyDescent="0.25"/>
    <row r="197" ht="12.5" x14ac:dyDescent="0.25"/>
    <row r="198" ht="12.5" x14ac:dyDescent="0.25"/>
    <row r="199" ht="12.5" x14ac:dyDescent="0.25"/>
    <row r="200" ht="12.5" x14ac:dyDescent="0.25"/>
    <row r="201" ht="12.5" x14ac:dyDescent="0.25"/>
    <row r="202" ht="12.5" x14ac:dyDescent="0.25"/>
    <row r="203" ht="12.5" x14ac:dyDescent="0.25"/>
    <row r="204" ht="12.5" x14ac:dyDescent="0.25"/>
    <row r="205" ht="12.5" x14ac:dyDescent="0.25"/>
    <row r="206" ht="12.5" x14ac:dyDescent="0.25"/>
    <row r="207" ht="12.5" x14ac:dyDescent="0.25"/>
    <row r="208" ht="12.5" x14ac:dyDescent="0.25"/>
    <row r="209" ht="12.5" x14ac:dyDescent="0.25"/>
    <row r="210" ht="12.5" x14ac:dyDescent="0.25"/>
    <row r="211" ht="12.5" x14ac:dyDescent="0.25"/>
    <row r="212" ht="12.5" x14ac:dyDescent="0.25"/>
    <row r="213" ht="12.5" x14ac:dyDescent="0.25"/>
    <row r="214" ht="12.5" x14ac:dyDescent="0.25"/>
    <row r="215" ht="12.5" x14ac:dyDescent="0.25"/>
    <row r="216" ht="12.5" x14ac:dyDescent="0.25"/>
    <row r="217" ht="12.5" x14ac:dyDescent="0.25"/>
    <row r="218" ht="12.5" x14ac:dyDescent="0.25"/>
    <row r="219" ht="12.5" x14ac:dyDescent="0.25"/>
    <row r="220" ht="12.5" x14ac:dyDescent="0.25"/>
    <row r="221" ht="12.5" x14ac:dyDescent="0.25"/>
    <row r="222" ht="12.5" x14ac:dyDescent="0.25"/>
    <row r="223" ht="12.5" x14ac:dyDescent="0.25"/>
    <row r="224" ht="12.5" x14ac:dyDescent="0.25"/>
    <row r="225" ht="12.5" x14ac:dyDescent="0.25"/>
    <row r="226" ht="12.5" x14ac:dyDescent="0.25"/>
    <row r="227" ht="12.5" x14ac:dyDescent="0.25"/>
    <row r="228" ht="12.5" x14ac:dyDescent="0.25"/>
    <row r="229" ht="12.5" x14ac:dyDescent="0.25"/>
    <row r="230" ht="12.5" x14ac:dyDescent="0.25"/>
    <row r="231" ht="12.5" x14ac:dyDescent="0.25"/>
    <row r="232" ht="12.5" x14ac:dyDescent="0.25"/>
    <row r="233" ht="12.5" x14ac:dyDescent="0.25"/>
    <row r="234" ht="12.5" x14ac:dyDescent="0.25"/>
    <row r="235" ht="12.5" x14ac:dyDescent="0.25"/>
    <row r="236" ht="12.5" x14ac:dyDescent="0.25"/>
    <row r="237" ht="12.5" x14ac:dyDescent="0.25"/>
    <row r="238" ht="12.5" x14ac:dyDescent="0.25"/>
    <row r="239" ht="12.5" x14ac:dyDescent="0.25"/>
    <row r="240" ht="12.5" x14ac:dyDescent="0.25"/>
    <row r="241" ht="12.5" x14ac:dyDescent="0.25"/>
    <row r="242" ht="12.5" x14ac:dyDescent="0.25"/>
    <row r="243" ht="12.5" x14ac:dyDescent="0.25"/>
    <row r="244" ht="12.5" x14ac:dyDescent="0.25"/>
    <row r="245" ht="12.5" x14ac:dyDescent="0.25"/>
    <row r="246" ht="12.5" x14ac:dyDescent="0.25"/>
    <row r="247" ht="12.5" x14ac:dyDescent="0.25"/>
    <row r="248" ht="12.5" x14ac:dyDescent="0.25"/>
    <row r="249" ht="12.5" x14ac:dyDescent="0.25"/>
    <row r="250" ht="12.5" x14ac:dyDescent="0.25"/>
    <row r="251" ht="12.5" x14ac:dyDescent="0.25"/>
    <row r="252" ht="12.5" x14ac:dyDescent="0.25"/>
    <row r="253" ht="12.5" x14ac:dyDescent="0.25"/>
    <row r="254" ht="12.5" x14ac:dyDescent="0.25"/>
    <row r="255" ht="12.5" x14ac:dyDescent="0.25"/>
    <row r="256" ht="12.5" x14ac:dyDescent="0.25"/>
    <row r="257" ht="12.5" x14ac:dyDescent="0.25"/>
    <row r="258" ht="12.5" x14ac:dyDescent="0.25"/>
    <row r="259" ht="12.5" x14ac:dyDescent="0.25"/>
    <row r="260" ht="12.5" x14ac:dyDescent="0.25"/>
    <row r="261" ht="12.5" x14ac:dyDescent="0.25"/>
    <row r="262" ht="12.5" x14ac:dyDescent="0.25"/>
    <row r="263" ht="12.5" x14ac:dyDescent="0.25"/>
    <row r="264" ht="12.5" x14ac:dyDescent="0.25"/>
    <row r="265" ht="12.5" x14ac:dyDescent="0.25"/>
    <row r="266" ht="12.5" x14ac:dyDescent="0.25"/>
    <row r="267" ht="12.5" x14ac:dyDescent="0.25"/>
    <row r="268" ht="12.5" x14ac:dyDescent="0.25"/>
    <row r="269" ht="12.5" x14ac:dyDescent="0.25"/>
    <row r="270" ht="12.5" x14ac:dyDescent="0.25"/>
    <row r="271" ht="12.5" x14ac:dyDescent="0.25"/>
    <row r="272" ht="12.5" x14ac:dyDescent="0.25"/>
    <row r="273" ht="12.5" x14ac:dyDescent="0.25"/>
    <row r="274" ht="12.5" x14ac:dyDescent="0.25"/>
    <row r="275" ht="12.5" x14ac:dyDescent="0.25"/>
    <row r="276" ht="12.5" x14ac:dyDescent="0.25"/>
    <row r="277" ht="12.5" x14ac:dyDescent="0.25"/>
    <row r="278" ht="12.5" x14ac:dyDescent="0.25"/>
    <row r="279" ht="12.5" x14ac:dyDescent="0.25"/>
    <row r="280" ht="12.5" x14ac:dyDescent="0.25"/>
    <row r="281" ht="12.5" x14ac:dyDescent="0.25"/>
    <row r="282" ht="12.5" x14ac:dyDescent="0.25"/>
    <row r="283" ht="12.5" x14ac:dyDescent="0.25"/>
    <row r="284" ht="12.5" x14ac:dyDescent="0.25"/>
    <row r="285" ht="12.5" x14ac:dyDescent="0.25"/>
    <row r="286" ht="12.5" x14ac:dyDescent="0.25"/>
    <row r="287" ht="12.5" x14ac:dyDescent="0.25"/>
    <row r="288" ht="12.5" x14ac:dyDescent="0.25"/>
    <row r="289" ht="12.5" x14ac:dyDescent="0.25"/>
    <row r="290" ht="12.5" x14ac:dyDescent="0.25"/>
    <row r="291" ht="12.5" x14ac:dyDescent="0.25"/>
    <row r="292" ht="12.5" x14ac:dyDescent="0.25"/>
    <row r="293" ht="12.5" x14ac:dyDescent="0.25"/>
    <row r="294" ht="12.5" x14ac:dyDescent="0.25"/>
    <row r="295" ht="12.5" x14ac:dyDescent="0.25"/>
    <row r="296" ht="12.5" x14ac:dyDescent="0.25"/>
    <row r="297" ht="12.5" x14ac:dyDescent="0.25"/>
    <row r="298" ht="12.5" x14ac:dyDescent="0.25"/>
    <row r="299" ht="12.5" x14ac:dyDescent="0.25"/>
    <row r="300" ht="12.5" x14ac:dyDescent="0.25"/>
    <row r="301" ht="12.5" x14ac:dyDescent="0.25"/>
    <row r="302" ht="12.5" x14ac:dyDescent="0.25"/>
    <row r="303" ht="12.5" x14ac:dyDescent="0.25"/>
    <row r="304" ht="12.5" x14ac:dyDescent="0.25"/>
    <row r="305" ht="12.5" x14ac:dyDescent="0.25"/>
    <row r="306" ht="12.5" x14ac:dyDescent="0.25"/>
    <row r="307" ht="12.5" x14ac:dyDescent="0.25"/>
    <row r="308" ht="12.5" x14ac:dyDescent="0.25"/>
    <row r="309" ht="12.5" x14ac:dyDescent="0.25"/>
    <row r="310" ht="12.5" x14ac:dyDescent="0.25"/>
    <row r="311" ht="12.5" x14ac:dyDescent="0.25"/>
    <row r="312" ht="12.5" x14ac:dyDescent="0.25"/>
    <row r="313" ht="12.5" x14ac:dyDescent="0.25"/>
    <row r="314" ht="12.5" x14ac:dyDescent="0.25"/>
    <row r="315" ht="12.5" x14ac:dyDescent="0.25"/>
    <row r="316" ht="12.5" x14ac:dyDescent="0.25"/>
    <row r="317" ht="12.5" x14ac:dyDescent="0.25"/>
    <row r="318" ht="12.5" x14ac:dyDescent="0.25"/>
    <row r="319" ht="12.5" x14ac:dyDescent="0.25"/>
    <row r="320" ht="12.5" x14ac:dyDescent="0.25"/>
    <row r="321" ht="12.5" x14ac:dyDescent="0.25"/>
    <row r="322" ht="12.5" x14ac:dyDescent="0.25"/>
    <row r="323" ht="12.5" x14ac:dyDescent="0.25"/>
    <row r="324" ht="12.5" x14ac:dyDescent="0.25"/>
    <row r="325" ht="12.5" x14ac:dyDescent="0.25"/>
    <row r="326" ht="12.5" x14ac:dyDescent="0.25"/>
    <row r="327" ht="12.5" x14ac:dyDescent="0.25"/>
    <row r="328" ht="12.5" x14ac:dyDescent="0.25"/>
    <row r="329" ht="12.5" x14ac:dyDescent="0.25"/>
    <row r="330" ht="12.5" x14ac:dyDescent="0.25"/>
    <row r="331" ht="12.5" x14ac:dyDescent="0.25"/>
    <row r="332" ht="12.5" x14ac:dyDescent="0.25"/>
    <row r="333" ht="12.5" x14ac:dyDescent="0.25"/>
    <row r="334" ht="12.5" x14ac:dyDescent="0.25"/>
    <row r="335" ht="12.5" x14ac:dyDescent="0.25"/>
    <row r="336" ht="12.5" x14ac:dyDescent="0.25"/>
    <row r="337" ht="12.5" x14ac:dyDescent="0.25"/>
    <row r="338" ht="12.5" x14ac:dyDescent="0.25"/>
    <row r="339" ht="12.5" x14ac:dyDescent="0.25"/>
    <row r="340" ht="12.5" x14ac:dyDescent="0.25"/>
    <row r="341" ht="12.5" x14ac:dyDescent="0.25"/>
    <row r="342" ht="12.5" x14ac:dyDescent="0.25"/>
    <row r="343" ht="12.5" x14ac:dyDescent="0.25"/>
    <row r="344" ht="12.5" x14ac:dyDescent="0.25"/>
    <row r="345" ht="12.5" x14ac:dyDescent="0.25"/>
    <row r="346" ht="12.5" x14ac:dyDescent="0.25"/>
    <row r="347" ht="12.5" x14ac:dyDescent="0.25"/>
    <row r="348" ht="12.5" x14ac:dyDescent="0.25"/>
    <row r="349" ht="12.5" x14ac:dyDescent="0.25"/>
    <row r="350" ht="12.5" x14ac:dyDescent="0.25"/>
    <row r="351" ht="12.5" x14ac:dyDescent="0.25"/>
    <row r="352" ht="12.5" x14ac:dyDescent="0.25"/>
    <row r="353" ht="12.5" x14ac:dyDescent="0.25"/>
    <row r="354" ht="12.5" x14ac:dyDescent="0.25"/>
    <row r="355" ht="12.5" x14ac:dyDescent="0.25"/>
    <row r="356" ht="12.5" x14ac:dyDescent="0.25"/>
    <row r="357" ht="12.5" x14ac:dyDescent="0.25"/>
    <row r="358" ht="12.5" x14ac:dyDescent="0.25"/>
    <row r="359" ht="12.5" x14ac:dyDescent="0.25"/>
    <row r="360" ht="12.5" x14ac:dyDescent="0.25"/>
    <row r="361" ht="12.5" x14ac:dyDescent="0.25"/>
    <row r="362" ht="12.5" x14ac:dyDescent="0.25"/>
    <row r="363" ht="12.5" x14ac:dyDescent="0.25"/>
    <row r="364" ht="12.5" x14ac:dyDescent="0.25"/>
    <row r="365" ht="12.5" x14ac:dyDescent="0.25"/>
    <row r="366" ht="12.5" x14ac:dyDescent="0.25"/>
    <row r="367" ht="12.5" x14ac:dyDescent="0.25"/>
    <row r="368" ht="12.5" x14ac:dyDescent="0.25"/>
    <row r="369" ht="12.5" x14ac:dyDescent="0.25"/>
    <row r="370" ht="12.5" x14ac:dyDescent="0.25"/>
    <row r="371" ht="12.5" x14ac:dyDescent="0.25"/>
    <row r="372" ht="12.5" x14ac:dyDescent="0.25"/>
    <row r="373" ht="12.5" x14ac:dyDescent="0.25"/>
    <row r="374" ht="12.5" x14ac:dyDescent="0.25"/>
    <row r="375" ht="12.5" x14ac:dyDescent="0.25"/>
    <row r="376" ht="12.5" x14ac:dyDescent="0.25"/>
    <row r="377" ht="12.5" x14ac:dyDescent="0.25"/>
    <row r="378" ht="12.5" x14ac:dyDescent="0.25"/>
    <row r="379" ht="12.5" x14ac:dyDescent="0.25"/>
    <row r="380" ht="12.5" x14ac:dyDescent="0.25"/>
    <row r="381" ht="12.5" x14ac:dyDescent="0.25"/>
    <row r="382" ht="12.5" x14ac:dyDescent="0.25"/>
    <row r="383" ht="12.5" x14ac:dyDescent="0.25"/>
    <row r="384" ht="12.5" x14ac:dyDescent="0.25"/>
    <row r="385" ht="12.5" x14ac:dyDescent="0.25"/>
    <row r="386" ht="12.5" x14ac:dyDescent="0.25"/>
    <row r="387" ht="12.5" x14ac:dyDescent="0.25"/>
    <row r="388" ht="12.5" x14ac:dyDescent="0.25"/>
    <row r="389" ht="12.5" x14ac:dyDescent="0.25"/>
    <row r="390" ht="12.5" x14ac:dyDescent="0.25"/>
    <row r="391" ht="12.5" x14ac:dyDescent="0.25"/>
    <row r="392" ht="12.5" x14ac:dyDescent="0.25"/>
    <row r="393" ht="12.5" x14ac:dyDescent="0.25"/>
    <row r="394" ht="12.5" x14ac:dyDescent="0.25"/>
    <row r="395" ht="12.5" x14ac:dyDescent="0.25"/>
    <row r="396" ht="12.5" x14ac:dyDescent="0.25"/>
    <row r="397" ht="12.5" x14ac:dyDescent="0.25"/>
    <row r="398" ht="12.5" x14ac:dyDescent="0.25"/>
    <row r="399" ht="12.5" x14ac:dyDescent="0.25"/>
    <row r="400" ht="12.5" x14ac:dyDescent="0.25"/>
    <row r="401" ht="12.5" x14ac:dyDescent="0.25"/>
    <row r="402" ht="12.5" x14ac:dyDescent="0.25"/>
    <row r="403" ht="12.5" x14ac:dyDescent="0.25"/>
    <row r="404" ht="12.5" x14ac:dyDescent="0.25"/>
    <row r="405" ht="12.5" x14ac:dyDescent="0.25"/>
    <row r="406" ht="12.5" x14ac:dyDescent="0.25"/>
    <row r="407" ht="12.5" x14ac:dyDescent="0.25"/>
    <row r="408" ht="12.5" x14ac:dyDescent="0.25"/>
    <row r="409" ht="12.5" x14ac:dyDescent="0.25"/>
    <row r="410" ht="12.5" x14ac:dyDescent="0.25"/>
    <row r="411" ht="12.5" x14ac:dyDescent="0.25"/>
    <row r="412" ht="12.5" x14ac:dyDescent="0.25"/>
    <row r="413" ht="12.5" x14ac:dyDescent="0.25"/>
    <row r="414" ht="12.5" x14ac:dyDescent="0.25"/>
    <row r="415" ht="12.5" x14ac:dyDescent="0.25"/>
    <row r="416" ht="12.5" x14ac:dyDescent="0.25"/>
    <row r="417" ht="12.5" x14ac:dyDescent="0.25"/>
    <row r="418" ht="12.5" x14ac:dyDescent="0.25"/>
    <row r="419" ht="12.5" x14ac:dyDescent="0.25"/>
    <row r="420" ht="12.5" x14ac:dyDescent="0.25"/>
    <row r="421" ht="12.5" x14ac:dyDescent="0.25"/>
    <row r="422" ht="12.5" x14ac:dyDescent="0.25"/>
    <row r="423" ht="12.5" x14ac:dyDescent="0.25"/>
    <row r="424" ht="12.5" x14ac:dyDescent="0.25"/>
    <row r="425" ht="12.5" x14ac:dyDescent="0.25"/>
    <row r="426" ht="12.5" x14ac:dyDescent="0.25"/>
    <row r="427" ht="12.5" x14ac:dyDescent="0.25"/>
    <row r="428" ht="12.5" x14ac:dyDescent="0.25"/>
    <row r="429" ht="12.5" x14ac:dyDescent="0.25"/>
    <row r="430" ht="12.5" x14ac:dyDescent="0.25"/>
    <row r="431" ht="12.5" x14ac:dyDescent="0.25"/>
    <row r="432" ht="12.5" x14ac:dyDescent="0.25"/>
    <row r="433" ht="12.5" x14ac:dyDescent="0.25"/>
    <row r="434" ht="12.5" x14ac:dyDescent="0.25"/>
    <row r="435" ht="12.5" x14ac:dyDescent="0.25"/>
    <row r="436" ht="12.5" x14ac:dyDescent="0.25"/>
    <row r="437" ht="12.5" x14ac:dyDescent="0.25"/>
    <row r="438" ht="12.5" x14ac:dyDescent="0.25"/>
    <row r="439" ht="12.5" x14ac:dyDescent="0.25"/>
    <row r="440" ht="12.5" x14ac:dyDescent="0.25"/>
    <row r="441" ht="12.5" x14ac:dyDescent="0.25"/>
    <row r="442" ht="12.5" x14ac:dyDescent="0.25"/>
    <row r="443" ht="12.5" x14ac:dyDescent="0.25"/>
    <row r="444" ht="12.5" x14ac:dyDescent="0.25"/>
    <row r="445" ht="12.5" x14ac:dyDescent="0.25"/>
    <row r="446" ht="12.5" x14ac:dyDescent="0.25"/>
    <row r="447" ht="12.5" x14ac:dyDescent="0.25"/>
    <row r="448" ht="12.5" x14ac:dyDescent="0.25"/>
    <row r="449" ht="12.5" x14ac:dyDescent="0.25"/>
    <row r="450" ht="12.5" x14ac:dyDescent="0.25"/>
    <row r="451" ht="12.5" x14ac:dyDescent="0.25"/>
    <row r="452" ht="12.5" x14ac:dyDescent="0.25"/>
    <row r="453" ht="12.5" x14ac:dyDescent="0.25"/>
    <row r="454" ht="12.5" x14ac:dyDescent="0.25"/>
    <row r="455" ht="12.5" x14ac:dyDescent="0.25"/>
    <row r="456" ht="12.5" x14ac:dyDescent="0.25"/>
    <row r="457" ht="12.5" x14ac:dyDescent="0.25"/>
    <row r="458" ht="12.5" x14ac:dyDescent="0.25"/>
    <row r="459" ht="12.5" x14ac:dyDescent="0.25"/>
    <row r="460" ht="12.5" x14ac:dyDescent="0.25"/>
    <row r="461" ht="12.5" x14ac:dyDescent="0.25"/>
    <row r="462" ht="12.5" x14ac:dyDescent="0.25"/>
    <row r="463" ht="12.5" x14ac:dyDescent="0.25"/>
    <row r="464" ht="12.5" x14ac:dyDescent="0.25"/>
    <row r="465" ht="12.5" x14ac:dyDescent="0.25"/>
    <row r="466" ht="12.5" x14ac:dyDescent="0.25"/>
    <row r="467" ht="12.5" x14ac:dyDescent="0.25"/>
    <row r="468" ht="12.5" x14ac:dyDescent="0.25"/>
    <row r="469" ht="12.5" x14ac:dyDescent="0.25"/>
    <row r="470" ht="12.5" x14ac:dyDescent="0.25"/>
    <row r="471" ht="12.5" x14ac:dyDescent="0.25"/>
    <row r="472" ht="12.5" x14ac:dyDescent="0.25"/>
    <row r="473" ht="12.5" x14ac:dyDescent="0.25"/>
    <row r="474" ht="12.5" x14ac:dyDescent="0.25"/>
    <row r="475" ht="12.5" x14ac:dyDescent="0.25"/>
    <row r="476" ht="12.5" x14ac:dyDescent="0.25"/>
    <row r="477" ht="12.5" x14ac:dyDescent="0.25"/>
    <row r="478" ht="12.5" x14ac:dyDescent="0.25"/>
    <row r="479" ht="12.5" x14ac:dyDescent="0.25"/>
    <row r="480" ht="12.5" x14ac:dyDescent="0.25"/>
    <row r="481" ht="12.5" x14ac:dyDescent="0.25"/>
    <row r="482" ht="12.5" x14ac:dyDescent="0.25"/>
    <row r="483" ht="12.5" x14ac:dyDescent="0.25"/>
    <row r="484" ht="12.5" x14ac:dyDescent="0.25"/>
    <row r="485" ht="12.5" x14ac:dyDescent="0.25"/>
    <row r="486" ht="12.5" x14ac:dyDescent="0.25"/>
    <row r="487" ht="12.5" x14ac:dyDescent="0.25"/>
    <row r="488" ht="12.5" x14ac:dyDescent="0.25"/>
    <row r="489" ht="12.5" x14ac:dyDescent="0.25"/>
    <row r="490" ht="12.5" x14ac:dyDescent="0.25"/>
    <row r="491" ht="12.5" x14ac:dyDescent="0.25"/>
    <row r="492" ht="12.5" x14ac:dyDescent="0.25"/>
    <row r="493" ht="12.5" x14ac:dyDescent="0.25"/>
    <row r="494" ht="12.5" x14ac:dyDescent="0.25"/>
    <row r="495" ht="12.5" x14ac:dyDescent="0.25"/>
    <row r="496" ht="12.5" x14ac:dyDescent="0.25"/>
    <row r="497" ht="12.5" x14ac:dyDescent="0.25"/>
    <row r="498" ht="12.5" x14ac:dyDescent="0.25"/>
    <row r="499" ht="12.5" x14ac:dyDescent="0.25"/>
    <row r="500" ht="12.5" x14ac:dyDescent="0.25"/>
    <row r="501" ht="12.5" x14ac:dyDescent="0.25"/>
    <row r="502" ht="12.5" x14ac:dyDescent="0.25"/>
    <row r="503" ht="12.5" x14ac:dyDescent="0.25"/>
    <row r="504" ht="12.5" x14ac:dyDescent="0.25"/>
    <row r="505" ht="12.5" x14ac:dyDescent="0.25"/>
    <row r="506" ht="12.5" x14ac:dyDescent="0.25"/>
    <row r="507" ht="12.5" x14ac:dyDescent="0.25"/>
    <row r="508" ht="12.5" x14ac:dyDescent="0.25"/>
    <row r="509" ht="12.5" x14ac:dyDescent="0.25"/>
    <row r="510" ht="12.5" x14ac:dyDescent="0.25"/>
    <row r="511" ht="12.5" x14ac:dyDescent="0.25"/>
    <row r="512" ht="12.5" x14ac:dyDescent="0.25"/>
    <row r="513" ht="12.5" x14ac:dyDescent="0.25"/>
    <row r="514" ht="12.5" x14ac:dyDescent="0.25"/>
    <row r="515" ht="12.5" x14ac:dyDescent="0.25"/>
    <row r="516" ht="12.5" x14ac:dyDescent="0.25"/>
    <row r="517" ht="12.5" x14ac:dyDescent="0.25"/>
    <row r="518" ht="12.5" x14ac:dyDescent="0.25"/>
    <row r="519" ht="12.5" x14ac:dyDescent="0.25"/>
    <row r="520" ht="12.5" x14ac:dyDescent="0.25"/>
    <row r="521" ht="12.5" x14ac:dyDescent="0.25"/>
    <row r="522" ht="12.5" x14ac:dyDescent="0.25"/>
    <row r="523" ht="12.5" x14ac:dyDescent="0.25"/>
    <row r="524" ht="12.5" x14ac:dyDescent="0.25"/>
    <row r="525" ht="12.5" x14ac:dyDescent="0.25"/>
    <row r="526" ht="12.5" x14ac:dyDescent="0.25"/>
    <row r="527" ht="12.5" x14ac:dyDescent="0.25"/>
    <row r="528" ht="12.5" x14ac:dyDescent="0.25"/>
    <row r="529" ht="12.5" x14ac:dyDescent="0.25"/>
    <row r="530" ht="12.5" x14ac:dyDescent="0.25"/>
    <row r="531" ht="12.5" x14ac:dyDescent="0.25"/>
    <row r="532" ht="12.5" x14ac:dyDescent="0.25"/>
    <row r="533" ht="12.5" x14ac:dyDescent="0.25"/>
    <row r="534" ht="12.5" x14ac:dyDescent="0.25"/>
    <row r="535" ht="12.5" x14ac:dyDescent="0.25"/>
    <row r="536" ht="12.5" x14ac:dyDescent="0.25"/>
    <row r="537" ht="12.5" x14ac:dyDescent="0.25"/>
    <row r="538" ht="12.5" x14ac:dyDescent="0.25"/>
    <row r="539" ht="12.5" x14ac:dyDescent="0.25"/>
    <row r="540" ht="12.5" x14ac:dyDescent="0.25"/>
    <row r="541" ht="12.5" x14ac:dyDescent="0.25"/>
    <row r="542" ht="12.5" x14ac:dyDescent="0.25"/>
    <row r="543" ht="12.5" x14ac:dyDescent="0.25"/>
    <row r="544" ht="12.5" x14ac:dyDescent="0.25"/>
    <row r="545" ht="12.5" x14ac:dyDescent="0.25"/>
    <row r="546" ht="12.5" x14ac:dyDescent="0.25"/>
    <row r="547" ht="12.5" x14ac:dyDescent="0.25"/>
    <row r="548" ht="12.5" x14ac:dyDescent="0.25"/>
    <row r="549" ht="12.5" x14ac:dyDescent="0.25"/>
    <row r="550" ht="12.5" x14ac:dyDescent="0.25"/>
    <row r="551" ht="12.5" x14ac:dyDescent="0.25"/>
    <row r="552" ht="12.5" x14ac:dyDescent="0.25"/>
    <row r="553" ht="12.5" x14ac:dyDescent="0.25"/>
    <row r="554" ht="12.5" x14ac:dyDescent="0.25"/>
    <row r="555" ht="12.5" x14ac:dyDescent="0.25"/>
    <row r="556" ht="12.5" x14ac:dyDescent="0.25"/>
    <row r="557" ht="12.5" x14ac:dyDescent="0.25"/>
    <row r="558" ht="12.5" x14ac:dyDescent="0.25"/>
    <row r="559" ht="12.5" x14ac:dyDescent="0.25"/>
    <row r="560" ht="12.5" x14ac:dyDescent="0.25"/>
    <row r="561" ht="12.5" x14ac:dyDescent="0.25"/>
    <row r="562" ht="12.5" x14ac:dyDescent="0.25"/>
    <row r="563" ht="12.5" x14ac:dyDescent="0.25"/>
    <row r="564" ht="12.5" x14ac:dyDescent="0.25"/>
    <row r="565" ht="12.5" x14ac:dyDescent="0.25"/>
    <row r="566" ht="12.5" x14ac:dyDescent="0.25"/>
    <row r="567" ht="12.5" x14ac:dyDescent="0.25"/>
    <row r="568" ht="12.5" x14ac:dyDescent="0.25"/>
    <row r="569" ht="12.5" x14ac:dyDescent="0.25"/>
    <row r="570" ht="12.5" x14ac:dyDescent="0.25"/>
    <row r="571" ht="12.5" x14ac:dyDescent="0.25"/>
    <row r="572" ht="12.5" x14ac:dyDescent="0.25"/>
    <row r="573" ht="12.5" x14ac:dyDescent="0.25"/>
    <row r="574" ht="12.5" x14ac:dyDescent="0.25"/>
    <row r="575" ht="12.5" x14ac:dyDescent="0.25"/>
    <row r="576" ht="12.5" x14ac:dyDescent="0.25"/>
    <row r="577" ht="12.5" x14ac:dyDescent="0.25"/>
    <row r="578" ht="12.5" x14ac:dyDescent="0.25"/>
    <row r="579" ht="12.5" x14ac:dyDescent="0.25"/>
    <row r="580" ht="12.5" x14ac:dyDescent="0.25"/>
    <row r="581" ht="12.5" x14ac:dyDescent="0.25"/>
    <row r="582" ht="12.5" x14ac:dyDescent="0.25"/>
    <row r="583" ht="12.5" x14ac:dyDescent="0.25"/>
    <row r="584" ht="12.5" x14ac:dyDescent="0.25"/>
    <row r="585" ht="12.5" x14ac:dyDescent="0.25"/>
    <row r="586" ht="12.5" x14ac:dyDescent="0.25"/>
    <row r="587" ht="12.5" x14ac:dyDescent="0.25"/>
    <row r="588" ht="12.5" x14ac:dyDescent="0.25"/>
    <row r="589" ht="12.5" x14ac:dyDescent="0.25"/>
    <row r="590" ht="12.5" x14ac:dyDescent="0.25"/>
    <row r="591" ht="12.5" x14ac:dyDescent="0.25"/>
    <row r="592" ht="12.5" x14ac:dyDescent="0.25"/>
    <row r="593" ht="12.5" x14ac:dyDescent="0.25"/>
    <row r="594" ht="12.5" x14ac:dyDescent="0.25"/>
    <row r="595" ht="12.5" x14ac:dyDescent="0.25"/>
    <row r="596" ht="12.5" x14ac:dyDescent="0.25"/>
    <row r="597" ht="12.5" x14ac:dyDescent="0.25"/>
    <row r="598" ht="12.5" x14ac:dyDescent="0.25"/>
    <row r="599" ht="12.5" x14ac:dyDescent="0.25"/>
    <row r="600" ht="12.5" x14ac:dyDescent="0.25"/>
    <row r="601" ht="12.5" x14ac:dyDescent="0.25"/>
    <row r="602" ht="12.5" x14ac:dyDescent="0.25"/>
    <row r="603" ht="12.5" x14ac:dyDescent="0.25"/>
    <row r="604" ht="12.5" x14ac:dyDescent="0.25"/>
    <row r="605" ht="12.5" x14ac:dyDescent="0.25"/>
    <row r="606" ht="12.5" x14ac:dyDescent="0.25"/>
    <row r="607" ht="12.5" x14ac:dyDescent="0.25"/>
    <row r="608" ht="12.5" x14ac:dyDescent="0.25"/>
    <row r="609" ht="12.5" x14ac:dyDescent="0.25"/>
    <row r="610" ht="12.5" x14ac:dyDescent="0.25"/>
    <row r="611" ht="12.5" x14ac:dyDescent="0.25"/>
    <row r="612" ht="12.5" x14ac:dyDescent="0.25"/>
    <row r="613" ht="12.5" x14ac:dyDescent="0.25"/>
    <row r="614" ht="12.5" x14ac:dyDescent="0.25"/>
    <row r="615" ht="12.5" x14ac:dyDescent="0.25"/>
    <row r="616" ht="12.5" x14ac:dyDescent="0.25"/>
    <row r="617" ht="12.5" x14ac:dyDescent="0.25"/>
    <row r="618" ht="12.5" x14ac:dyDescent="0.25"/>
    <row r="619" ht="12.5" x14ac:dyDescent="0.25"/>
    <row r="620" ht="12.5" x14ac:dyDescent="0.25"/>
    <row r="621" ht="12.5" x14ac:dyDescent="0.25"/>
    <row r="622" ht="12.5" x14ac:dyDescent="0.25"/>
    <row r="623" ht="12.5" x14ac:dyDescent="0.25"/>
    <row r="624" ht="12.5" x14ac:dyDescent="0.25"/>
    <row r="625" ht="12.5" x14ac:dyDescent="0.25"/>
    <row r="626" ht="12.5" x14ac:dyDescent="0.25"/>
    <row r="627" ht="12.5" x14ac:dyDescent="0.25"/>
    <row r="628" ht="12.5" x14ac:dyDescent="0.25"/>
    <row r="629" ht="12.5" x14ac:dyDescent="0.25"/>
    <row r="630" ht="12.5" x14ac:dyDescent="0.25"/>
    <row r="631" ht="12.5" x14ac:dyDescent="0.25"/>
    <row r="632" ht="12.5" x14ac:dyDescent="0.25"/>
    <row r="633" ht="12.5" x14ac:dyDescent="0.25"/>
    <row r="634" ht="12.5" x14ac:dyDescent="0.25"/>
    <row r="635" ht="12.5" x14ac:dyDescent="0.25"/>
    <row r="636" ht="12.5" x14ac:dyDescent="0.25"/>
    <row r="637" ht="12.5" x14ac:dyDescent="0.25"/>
    <row r="638" ht="12.5" x14ac:dyDescent="0.25"/>
    <row r="639" ht="12.5" x14ac:dyDescent="0.25"/>
    <row r="640" ht="12.5" x14ac:dyDescent="0.25"/>
    <row r="641" ht="12.5" x14ac:dyDescent="0.25"/>
    <row r="642" ht="12.5" x14ac:dyDescent="0.25"/>
    <row r="643" ht="12.5" x14ac:dyDescent="0.25"/>
    <row r="644" ht="12.5" x14ac:dyDescent="0.25"/>
    <row r="645" ht="12.5" x14ac:dyDescent="0.25"/>
    <row r="646" ht="12.5" x14ac:dyDescent="0.25"/>
    <row r="647" ht="12.5" x14ac:dyDescent="0.25"/>
    <row r="648" ht="12.5" x14ac:dyDescent="0.25"/>
    <row r="649" ht="12.5" x14ac:dyDescent="0.25"/>
    <row r="650" ht="12.5" x14ac:dyDescent="0.25"/>
    <row r="651" ht="12.5" x14ac:dyDescent="0.25"/>
    <row r="652" ht="12.5" x14ac:dyDescent="0.25"/>
    <row r="653" ht="12.5" x14ac:dyDescent="0.25"/>
    <row r="654" ht="12.5" x14ac:dyDescent="0.25"/>
    <row r="655" ht="12.5" x14ac:dyDescent="0.25"/>
    <row r="656" ht="12.5" x14ac:dyDescent="0.25"/>
    <row r="657" ht="12.5" x14ac:dyDescent="0.25"/>
    <row r="658" ht="12.5" x14ac:dyDescent="0.25"/>
    <row r="659" ht="12.5" x14ac:dyDescent="0.25"/>
    <row r="660" ht="12.5" x14ac:dyDescent="0.25"/>
    <row r="661" ht="12.5" x14ac:dyDescent="0.25"/>
    <row r="662" ht="12.5" x14ac:dyDescent="0.25"/>
    <row r="663" ht="12.5" x14ac:dyDescent="0.25"/>
    <row r="664" ht="12.5" x14ac:dyDescent="0.25"/>
    <row r="665" ht="12.5" x14ac:dyDescent="0.25"/>
    <row r="666" ht="12.5" x14ac:dyDescent="0.25"/>
    <row r="667" ht="12.5" x14ac:dyDescent="0.25"/>
    <row r="668" ht="12.5" x14ac:dyDescent="0.25"/>
    <row r="669" ht="12.5" x14ac:dyDescent="0.25"/>
    <row r="670" ht="12.5" x14ac:dyDescent="0.25"/>
    <row r="671" ht="12.5" x14ac:dyDescent="0.25"/>
    <row r="672" ht="12.5" x14ac:dyDescent="0.25"/>
    <row r="673" ht="12.5" x14ac:dyDescent="0.25"/>
    <row r="674" ht="12.5" x14ac:dyDescent="0.25"/>
    <row r="675" ht="12.5" x14ac:dyDescent="0.25"/>
    <row r="676" ht="12.5" x14ac:dyDescent="0.25"/>
    <row r="677" ht="12.5" x14ac:dyDescent="0.25"/>
    <row r="678" ht="12.5" x14ac:dyDescent="0.25"/>
    <row r="679" ht="12.5" x14ac:dyDescent="0.25"/>
    <row r="680" ht="12.5" x14ac:dyDescent="0.25"/>
    <row r="681" ht="12.5" x14ac:dyDescent="0.25"/>
    <row r="682" ht="12.5" x14ac:dyDescent="0.25"/>
    <row r="683" ht="12.5" x14ac:dyDescent="0.25"/>
    <row r="684" ht="12.5" x14ac:dyDescent="0.25"/>
    <row r="685" ht="12.5" x14ac:dyDescent="0.25"/>
    <row r="686" ht="12.5" x14ac:dyDescent="0.25"/>
    <row r="687" ht="12.5" x14ac:dyDescent="0.25"/>
    <row r="688" ht="12.5" x14ac:dyDescent="0.25"/>
    <row r="689" ht="12.5" x14ac:dyDescent="0.25"/>
    <row r="690" ht="12.5" x14ac:dyDescent="0.25"/>
    <row r="691" ht="12.5" x14ac:dyDescent="0.25"/>
    <row r="692" ht="12.5" x14ac:dyDescent="0.25"/>
    <row r="693" ht="12.5" x14ac:dyDescent="0.25"/>
    <row r="694" ht="12.5" x14ac:dyDescent="0.25"/>
    <row r="695" ht="12.5" x14ac:dyDescent="0.25"/>
    <row r="696" ht="12.5" x14ac:dyDescent="0.25"/>
    <row r="697" ht="12.5" x14ac:dyDescent="0.25"/>
    <row r="698" ht="12.5" x14ac:dyDescent="0.25"/>
    <row r="699" ht="12.5" x14ac:dyDescent="0.25"/>
    <row r="700" ht="12.5" x14ac:dyDescent="0.25"/>
    <row r="701" ht="12.5" x14ac:dyDescent="0.25"/>
    <row r="702" ht="12.5" x14ac:dyDescent="0.25"/>
    <row r="703" ht="12.5" x14ac:dyDescent="0.25"/>
    <row r="704" ht="12.5" x14ac:dyDescent="0.25"/>
    <row r="705" ht="12.5" x14ac:dyDescent="0.25"/>
    <row r="706" ht="12.5" x14ac:dyDescent="0.25"/>
    <row r="707" ht="12.5" x14ac:dyDescent="0.25"/>
    <row r="708" ht="12.5" x14ac:dyDescent="0.25"/>
    <row r="709" ht="12.5" x14ac:dyDescent="0.25"/>
    <row r="710" ht="12.5" x14ac:dyDescent="0.25"/>
    <row r="711" ht="12.5" x14ac:dyDescent="0.25"/>
    <row r="712" ht="12.5" x14ac:dyDescent="0.25"/>
    <row r="713" ht="12.5" x14ac:dyDescent="0.25"/>
    <row r="714" ht="12.5" x14ac:dyDescent="0.25"/>
    <row r="715" ht="12.5" x14ac:dyDescent="0.25"/>
    <row r="716" ht="12.5" x14ac:dyDescent="0.25"/>
    <row r="717" ht="12.5" x14ac:dyDescent="0.25"/>
    <row r="718" ht="12.5" x14ac:dyDescent="0.25"/>
    <row r="719" ht="12.5" x14ac:dyDescent="0.25"/>
    <row r="720" ht="12.5" x14ac:dyDescent="0.25"/>
    <row r="721" ht="12.5" x14ac:dyDescent="0.25"/>
    <row r="722" ht="12.5" x14ac:dyDescent="0.25"/>
    <row r="723" ht="12.5" x14ac:dyDescent="0.25"/>
    <row r="724" ht="12.5" x14ac:dyDescent="0.25"/>
    <row r="725" ht="12.5" x14ac:dyDescent="0.25"/>
    <row r="726" ht="12.5" x14ac:dyDescent="0.25"/>
    <row r="727" ht="12.5" x14ac:dyDescent="0.25"/>
    <row r="728" ht="12.5" x14ac:dyDescent="0.25"/>
    <row r="729" ht="12.5" x14ac:dyDescent="0.25"/>
    <row r="730" ht="12.5" x14ac:dyDescent="0.25"/>
    <row r="731" ht="12.5" x14ac:dyDescent="0.25"/>
    <row r="732" ht="12.5" x14ac:dyDescent="0.25"/>
    <row r="733" ht="12.5" x14ac:dyDescent="0.25"/>
    <row r="734" ht="12.5" x14ac:dyDescent="0.25"/>
    <row r="735" ht="12.5" x14ac:dyDescent="0.25"/>
    <row r="736" ht="12.5" x14ac:dyDescent="0.25"/>
    <row r="737" ht="12.5" x14ac:dyDescent="0.25"/>
    <row r="738" ht="12.5" x14ac:dyDescent="0.25"/>
    <row r="739" ht="12.5" x14ac:dyDescent="0.25"/>
    <row r="740" ht="12.5" x14ac:dyDescent="0.25"/>
    <row r="741" ht="12.5" x14ac:dyDescent="0.25"/>
    <row r="742" ht="12.5" x14ac:dyDescent="0.25"/>
    <row r="743" ht="12.5" x14ac:dyDescent="0.25"/>
    <row r="744" ht="12.5" x14ac:dyDescent="0.25"/>
    <row r="745" ht="12.5" x14ac:dyDescent="0.25"/>
    <row r="746" ht="12.5" x14ac:dyDescent="0.25"/>
    <row r="747" ht="12.5" x14ac:dyDescent="0.25"/>
    <row r="748" ht="12.5" x14ac:dyDescent="0.25"/>
    <row r="749" ht="12.5" x14ac:dyDescent="0.25"/>
    <row r="750" ht="12.5" x14ac:dyDescent="0.25"/>
    <row r="751" ht="12.5" x14ac:dyDescent="0.25"/>
    <row r="752" ht="12.5" x14ac:dyDescent="0.25"/>
    <row r="753" ht="12.5" x14ac:dyDescent="0.25"/>
    <row r="754" ht="12.5" x14ac:dyDescent="0.25"/>
    <row r="755" ht="12.5" x14ac:dyDescent="0.25"/>
    <row r="756" ht="12.5" x14ac:dyDescent="0.25"/>
    <row r="757" ht="12.5" x14ac:dyDescent="0.25"/>
    <row r="758" ht="12.5" x14ac:dyDescent="0.25"/>
    <row r="759" ht="12.5" x14ac:dyDescent="0.25"/>
    <row r="760" ht="12.5" x14ac:dyDescent="0.25"/>
    <row r="761" ht="12.5" x14ac:dyDescent="0.25"/>
    <row r="762" ht="12.5" x14ac:dyDescent="0.25"/>
    <row r="763" ht="12.5" x14ac:dyDescent="0.25"/>
    <row r="764" ht="12.5" x14ac:dyDescent="0.25"/>
    <row r="765" ht="12.5" x14ac:dyDescent="0.25"/>
    <row r="766" ht="12.5" x14ac:dyDescent="0.25"/>
    <row r="767" ht="12.5" x14ac:dyDescent="0.25"/>
    <row r="768" ht="12.5" x14ac:dyDescent="0.25"/>
    <row r="769" ht="12.5" x14ac:dyDescent="0.25"/>
    <row r="770" ht="12.5" x14ac:dyDescent="0.25"/>
    <row r="771" ht="12.5" x14ac:dyDescent="0.25"/>
    <row r="772" ht="12.5" x14ac:dyDescent="0.25"/>
    <row r="773" ht="12.5" x14ac:dyDescent="0.25"/>
    <row r="774" ht="12.5" x14ac:dyDescent="0.25"/>
    <row r="775" ht="12.5" x14ac:dyDescent="0.25"/>
    <row r="776" ht="12.5" x14ac:dyDescent="0.25"/>
    <row r="777" ht="12.5" x14ac:dyDescent="0.25"/>
    <row r="778" ht="12.5" x14ac:dyDescent="0.25"/>
    <row r="779" ht="12.5" x14ac:dyDescent="0.25"/>
    <row r="780" ht="12.5" x14ac:dyDescent="0.25"/>
    <row r="781" ht="12.5" x14ac:dyDescent="0.25"/>
    <row r="782" ht="12.5" x14ac:dyDescent="0.25"/>
    <row r="783" ht="12.5" x14ac:dyDescent="0.25"/>
    <row r="784" ht="12.5" x14ac:dyDescent="0.25"/>
    <row r="785" ht="12.5" x14ac:dyDescent="0.25"/>
    <row r="786" ht="12.5" x14ac:dyDescent="0.25"/>
    <row r="787" ht="12.5" x14ac:dyDescent="0.25"/>
    <row r="788" ht="12.5" x14ac:dyDescent="0.25"/>
    <row r="789" ht="12.5" x14ac:dyDescent="0.25"/>
    <row r="790" ht="12.5" x14ac:dyDescent="0.25"/>
    <row r="791" ht="12.5" x14ac:dyDescent="0.25"/>
    <row r="792" ht="12.5" x14ac:dyDescent="0.25"/>
    <row r="793" ht="12.5" x14ac:dyDescent="0.25"/>
    <row r="794" ht="12.5" x14ac:dyDescent="0.25"/>
    <row r="795" ht="12.5" x14ac:dyDescent="0.25"/>
    <row r="796" ht="12.5" x14ac:dyDescent="0.25"/>
    <row r="797" ht="12.5" x14ac:dyDescent="0.25"/>
    <row r="798" ht="12.5" x14ac:dyDescent="0.25"/>
    <row r="799" ht="12.5" x14ac:dyDescent="0.25"/>
    <row r="800" ht="12.5" x14ac:dyDescent="0.25"/>
    <row r="801" ht="12.5" x14ac:dyDescent="0.25"/>
    <row r="802" ht="12.5" x14ac:dyDescent="0.25"/>
    <row r="803" ht="12.5" x14ac:dyDescent="0.25"/>
    <row r="804" ht="12.5" x14ac:dyDescent="0.25"/>
    <row r="805" ht="12.5" x14ac:dyDescent="0.25"/>
    <row r="806" ht="12.5" x14ac:dyDescent="0.25"/>
    <row r="807" ht="12.5" x14ac:dyDescent="0.25"/>
    <row r="808" ht="12.5" x14ac:dyDescent="0.25"/>
    <row r="809" ht="12.5" x14ac:dyDescent="0.25"/>
    <row r="810" ht="12.5" x14ac:dyDescent="0.25"/>
    <row r="811" ht="12.5" x14ac:dyDescent="0.25"/>
    <row r="812" ht="12.5" x14ac:dyDescent="0.25"/>
    <row r="813" ht="12.5" x14ac:dyDescent="0.25"/>
    <row r="814" ht="12.5" x14ac:dyDescent="0.25"/>
    <row r="815" ht="12.5" x14ac:dyDescent="0.25"/>
    <row r="816" ht="12.5" x14ac:dyDescent="0.25"/>
    <row r="817" ht="12.5" x14ac:dyDescent="0.25"/>
    <row r="818" ht="12.5" x14ac:dyDescent="0.25"/>
    <row r="819" ht="12.5" x14ac:dyDescent="0.25"/>
    <row r="820" ht="12.5" x14ac:dyDescent="0.25"/>
    <row r="821" ht="12.5" x14ac:dyDescent="0.25"/>
    <row r="822" ht="12.5" x14ac:dyDescent="0.25"/>
    <row r="823" ht="12.5" x14ac:dyDescent="0.25"/>
    <row r="824" ht="12.5" x14ac:dyDescent="0.25"/>
    <row r="825" ht="12.5" x14ac:dyDescent="0.25"/>
    <row r="826" ht="12.5" x14ac:dyDescent="0.25"/>
    <row r="827" ht="12.5" x14ac:dyDescent="0.25"/>
    <row r="828" ht="12.5" x14ac:dyDescent="0.25"/>
    <row r="829" ht="12.5" x14ac:dyDescent="0.25"/>
    <row r="830" ht="12.5" x14ac:dyDescent="0.25"/>
    <row r="831" ht="12.5" x14ac:dyDescent="0.25"/>
    <row r="832" ht="12.5" x14ac:dyDescent="0.25"/>
    <row r="833" ht="12.5" x14ac:dyDescent="0.25"/>
    <row r="834" ht="12.5" x14ac:dyDescent="0.25"/>
    <row r="835" ht="12.5" x14ac:dyDescent="0.25"/>
    <row r="836" ht="12.5" x14ac:dyDescent="0.25"/>
    <row r="837" ht="12.5" x14ac:dyDescent="0.25"/>
    <row r="838" ht="12.5" x14ac:dyDescent="0.25"/>
    <row r="839" ht="12.5" x14ac:dyDescent="0.25"/>
    <row r="840" ht="12.5" x14ac:dyDescent="0.25"/>
    <row r="841" ht="12.5" x14ac:dyDescent="0.25"/>
    <row r="842" ht="12.5" x14ac:dyDescent="0.25"/>
    <row r="843" ht="12.5" x14ac:dyDescent="0.25"/>
    <row r="844" ht="12.5" x14ac:dyDescent="0.25"/>
    <row r="845" ht="12.5" x14ac:dyDescent="0.25"/>
    <row r="846" ht="12.5" x14ac:dyDescent="0.25"/>
    <row r="847" ht="12.5" x14ac:dyDescent="0.25"/>
    <row r="848" ht="12.5" x14ac:dyDescent="0.25"/>
    <row r="849" ht="12.5" x14ac:dyDescent="0.25"/>
    <row r="850" ht="12.5" x14ac:dyDescent="0.25"/>
    <row r="851" ht="12.5" x14ac:dyDescent="0.25"/>
    <row r="852" ht="12.5" x14ac:dyDescent="0.25"/>
    <row r="853" ht="12.5" x14ac:dyDescent="0.25"/>
    <row r="854" ht="12.5" x14ac:dyDescent="0.25"/>
    <row r="855" ht="12.5" x14ac:dyDescent="0.25"/>
    <row r="856" ht="12.5" x14ac:dyDescent="0.25"/>
    <row r="857" ht="12.5" x14ac:dyDescent="0.25"/>
    <row r="858" ht="12.5" x14ac:dyDescent="0.25"/>
    <row r="859" ht="12.5" x14ac:dyDescent="0.25"/>
    <row r="860" ht="12.5" x14ac:dyDescent="0.25"/>
    <row r="861" ht="12.5" x14ac:dyDescent="0.25"/>
    <row r="862" ht="12.5" x14ac:dyDescent="0.25"/>
    <row r="863" ht="12.5" x14ac:dyDescent="0.25"/>
    <row r="864" ht="12.5" x14ac:dyDescent="0.25"/>
    <row r="865" ht="12.5" x14ac:dyDescent="0.25"/>
    <row r="866" ht="12.5" x14ac:dyDescent="0.25"/>
    <row r="867" ht="12.5" x14ac:dyDescent="0.25"/>
    <row r="868" ht="12.5" x14ac:dyDescent="0.25"/>
    <row r="869" ht="12.5" x14ac:dyDescent="0.25"/>
    <row r="870" ht="12.5" x14ac:dyDescent="0.25"/>
    <row r="871" ht="12.5" x14ac:dyDescent="0.25"/>
    <row r="872" ht="12.5" x14ac:dyDescent="0.25"/>
    <row r="873" ht="12.5" x14ac:dyDescent="0.25"/>
    <row r="874" ht="12.5" x14ac:dyDescent="0.25"/>
    <row r="875" ht="12.5" x14ac:dyDescent="0.25"/>
    <row r="876" ht="12.5" x14ac:dyDescent="0.25"/>
    <row r="877" ht="12.5" x14ac:dyDescent="0.25"/>
    <row r="878" ht="12.5" x14ac:dyDescent="0.25"/>
    <row r="879" ht="12.5" x14ac:dyDescent="0.25"/>
    <row r="880" ht="12.5" x14ac:dyDescent="0.25"/>
    <row r="881" ht="12.5" x14ac:dyDescent="0.25"/>
    <row r="882" ht="12.5" x14ac:dyDescent="0.25"/>
    <row r="883" ht="12.5" x14ac:dyDescent="0.25"/>
    <row r="884" ht="12.5" x14ac:dyDescent="0.25"/>
    <row r="885" ht="12.5" x14ac:dyDescent="0.25"/>
    <row r="886" ht="12.5" x14ac:dyDescent="0.25"/>
    <row r="887" ht="12.5" x14ac:dyDescent="0.25"/>
    <row r="888" ht="12.5" x14ac:dyDescent="0.25"/>
    <row r="889" ht="12.5" x14ac:dyDescent="0.25"/>
    <row r="890" ht="12.5" x14ac:dyDescent="0.25"/>
    <row r="891" ht="12.5" x14ac:dyDescent="0.25"/>
    <row r="892" ht="12.5" x14ac:dyDescent="0.25"/>
    <row r="893" ht="12.5" x14ac:dyDescent="0.25"/>
    <row r="894" ht="12.5" x14ac:dyDescent="0.25"/>
    <row r="895" ht="12.5" x14ac:dyDescent="0.25"/>
    <row r="896" ht="12.5" x14ac:dyDescent="0.25"/>
    <row r="897" ht="12.5" x14ac:dyDescent="0.25"/>
    <row r="898" ht="12.5" x14ac:dyDescent="0.25"/>
    <row r="899" ht="12.5" x14ac:dyDescent="0.25"/>
    <row r="900" ht="12.5" x14ac:dyDescent="0.25"/>
    <row r="901" ht="12.5" x14ac:dyDescent="0.25"/>
    <row r="902" ht="12.5" x14ac:dyDescent="0.25"/>
    <row r="903" ht="12.5" x14ac:dyDescent="0.25"/>
    <row r="904" ht="12.5" x14ac:dyDescent="0.25"/>
    <row r="905" ht="12.5" x14ac:dyDescent="0.25"/>
    <row r="906" ht="12.5" x14ac:dyDescent="0.25"/>
    <row r="907" ht="12.5" x14ac:dyDescent="0.25"/>
    <row r="908" ht="12.5" x14ac:dyDescent="0.25"/>
    <row r="909" ht="12.5" x14ac:dyDescent="0.25"/>
    <row r="910" ht="12.5" x14ac:dyDescent="0.25"/>
    <row r="911" ht="12.5" x14ac:dyDescent="0.25"/>
    <row r="912" ht="12.5" x14ac:dyDescent="0.25"/>
    <row r="913" ht="12.5" x14ac:dyDescent="0.25"/>
    <row r="914" ht="12.5" x14ac:dyDescent="0.25"/>
    <row r="915" ht="12.5" x14ac:dyDescent="0.25"/>
    <row r="916" ht="12.5" x14ac:dyDescent="0.25"/>
    <row r="917" ht="12.5" x14ac:dyDescent="0.25"/>
    <row r="918" ht="12.5" x14ac:dyDescent="0.25"/>
    <row r="919" ht="12.5" x14ac:dyDescent="0.25"/>
    <row r="920" ht="12.5" x14ac:dyDescent="0.25"/>
    <row r="921" ht="12.5" x14ac:dyDescent="0.25"/>
    <row r="922" ht="12.5" x14ac:dyDescent="0.25"/>
    <row r="923" ht="12.5" x14ac:dyDescent="0.25"/>
    <row r="924" ht="12.5" x14ac:dyDescent="0.25"/>
    <row r="925" ht="12.5" x14ac:dyDescent="0.25"/>
    <row r="926" ht="12.5" x14ac:dyDescent="0.25"/>
    <row r="927" ht="12.5" x14ac:dyDescent="0.25"/>
    <row r="928" ht="12.5" x14ac:dyDescent="0.25"/>
    <row r="929" ht="12.5" x14ac:dyDescent="0.25"/>
    <row r="930" ht="12.5" x14ac:dyDescent="0.25"/>
    <row r="931" ht="12.5" x14ac:dyDescent="0.25"/>
    <row r="932" ht="12.5" x14ac:dyDescent="0.25"/>
    <row r="933" ht="12.5" x14ac:dyDescent="0.25"/>
    <row r="934" ht="12.5" x14ac:dyDescent="0.25"/>
    <row r="935" ht="12.5" x14ac:dyDescent="0.25"/>
    <row r="936" ht="12.5" x14ac:dyDescent="0.25"/>
    <row r="937" ht="12.5" x14ac:dyDescent="0.25"/>
    <row r="938" ht="12.5" x14ac:dyDescent="0.25"/>
    <row r="939" ht="12.5" x14ac:dyDescent="0.25"/>
    <row r="940" ht="12.5" x14ac:dyDescent="0.25"/>
    <row r="941" ht="12.5" x14ac:dyDescent="0.25"/>
    <row r="942" ht="12.5" x14ac:dyDescent="0.25"/>
    <row r="943" ht="12.5" x14ac:dyDescent="0.25"/>
    <row r="944" ht="12.5" x14ac:dyDescent="0.25"/>
    <row r="945" ht="12.5" x14ac:dyDescent="0.25"/>
    <row r="946" ht="12.5" x14ac:dyDescent="0.25"/>
    <row r="947" ht="12.5" x14ac:dyDescent="0.25"/>
    <row r="948" ht="12.5" x14ac:dyDescent="0.25"/>
    <row r="949" ht="12.5" x14ac:dyDescent="0.25"/>
    <row r="950" ht="12.5" x14ac:dyDescent="0.25"/>
    <row r="951" ht="12.5" x14ac:dyDescent="0.25"/>
    <row r="952" ht="12.5" x14ac:dyDescent="0.25"/>
    <row r="953" ht="12.5" x14ac:dyDescent="0.25"/>
    <row r="954" ht="12.5" x14ac:dyDescent="0.25"/>
    <row r="955" ht="12.5" x14ac:dyDescent="0.25"/>
    <row r="956" ht="12.5" x14ac:dyDescent="0.25"/>
    <row r="957" ht="12.5" x14ac:dyDescent="0.25"/>
    <row r="958" ht="12.5" x14ac:dyDescent="0.25"/>
    <row r="959" ht="12.5" x14ac:dyDescent="0.25"/>
    <row r="960" ht="12.5" x14ac:dyDescent="0.25"/>
    <row r="961" ht="12.5" x14ac:dyDescent="0.25"/>
    <row r="962" ht="12.5" x14ac:dyDescent="0.25"/>
    <row r="963" ht="12.5" x14ac:dyDescent="0.25"/>
    <row r="964" ht="12.5" x14ac:dyDescent="0.25"/>
    <row r="965" ht="12.5" x14ac:dyDescent="0.25"/>
    <row r="966" ht="12.5" x14ac:dyDescent="0.25"/>
    <row r="967" ht="12.5" x14ac:dyDescent="0.25"/>
    <row r="968" ht="12.5" x14ac:dyDescent="0.25"/>
    <row r="969" ht="12.5" x14ac:dyDescent="0.25"/>
    <row r="970" ht="12.5" x14ac:dyDescent="0.25"/>
    <row r="971" ht="12.5" x14ac:dyDescent="0.25"/>
    <row r="972" ht="12.5" x14ac:dyDescent="0.25"/>
    <row r="973" ht="12.5" x14ac:dyDescent="0.25"/>
    <row r="974" ht="12.5" x14ac:dyDescent="0.25"/>
    <row r="975" ht="12.5" x14ac:dyDescent="0.25"/>
    <row r="976" ht="12.5" x14ac:dyDescent="0.25"/>
    <row r="977" ht="12.5" x14ac:dyDescent="0.25"/>
    <row r="978" ht="12.5" x14ac:dyDescent="0.25"/>
    <row r="979" ht="12.5" x14ac:dyDescent="0.25"/>
    <row r="980" ht="12.5" x14ac:dyDescent="0.25"/>
    <row r="981" ht="12.5" x14ac:dyDescent="0.25"/>
    <row r="982" ht="12.5" x14ac:dyDescent="0.25"/>
    <row r="983" ht="12.5" x14ac:dyDescent="0.25"/>
    <row r="984" ht="12.5" x14ac:dyDescent="0.25"/>
    <row r="985" ht="12.5" x14ac:dyDescent="0.25"/>
    <row r="986" ht="12.5" x14ac:dyDescent="0.25"/>
    <row r="987" ht="12.5" x14ac:dyDescent="0.25"/>
    <row r="988" ht="12.5" x14ac:dyDescent="0.25"/>
    <row r="989" ht="12.5" x14ac:dyDescent="0.25"/>
    <row r="990" ht="12.5" x14ac:dyDescent="0.25"/>
    <row r="991" ht="12.5" x14ac:dyDescent="0.25"/>
    <row r="992" ht="12.5" x14ac:dyDescent="0.25"/>
    <row r="993" ht="12.5" x14ac:dyDescent="0.25"/>
    <row r="994" ht="12.5" x14ac:dyDescent="0.25"/>
    <row r="995" ht="12.5" x14ac:dyDescent="0.25"/>
    <row r="996" ht="12.5" x14ac:dyDescent="0.25"/>
    <row r="997" ht="12.5" x14ac:dyDescent="0.25"/>
    <row r="998" ht="12.5" x14ac:dyDescent="0.25"/>
    <row r="999" ht="12.5" x14ac:dyDescent="0.25"/>
    <row r="1000" ht="12.5" x14ac:dyDescent="0.25"/>
  </sheetData>
  <autoFilter ref="A1:C45" xr:uid="{00000000-0001-0000-0000-000000000000}">
    <sortState xmlns:xlrd2="http://schemas.microsoft.com/office/spreadsheetml/2017/richdata2" ref="A2:C45">
      <sortCondition ref="A1:A45"/>
    </sortState>
  </autoFilter>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F1000"/>
  <sheetViews>
    <sheetView zoomScale="70" zoomScaleNormal="70" workbookViewId="0">
      <pane xSplit="1" ySplit="3" topLeftCell="AC10" activePane="bottomRight" state="frozen"/>
      <selection pane="topRight" activeCell="B1" sqref="B1"/>
      <selection pane="bottomLeft" activeCell="A4" sqref="A4"/>
      <selection pane="bottomRight" activeCell="BF29" sqref="BF29:BF32"/>
    </sheetView>
  </sheetViews>
  <sheetFormatPr defaultColWidth="12.6328125" defaultRowHeight="15.75" customHeight="1" x14ac:dyDescent="0.25"/>
  <cols>
    <col min="1" max="1" width="15.36328125" customWidth="1"/>
    <col min="2" max="2" width="14.36328125" customWidth="1"/>
    <col min="3" max="46" width="8.90625" customWidth="1"/>
    <col min="47" max="54" width="8.6328125" customWidth="1"/>
    <col min="55" max="56" width="9.90625" customWidth="1"/>
    <col min="57" max="57" width="15.54296875" customWidth="1"/>
    <col min="58" max="58" width="21.6328125" bestFit="1" customWidth="1"/>
  </cols>
  <sheetData>
    <row r="1" spans="1:58" ht="15.75" customHeight="1" x14ac:dyDescent="0.5">
      <c r="A1" s="4" t="s">
        <v>9</v>
      </c>
      <c r="B1" s="2"/>
      <c r="C1" s="130"/>
      <c r="D1" s="131"/>
      <c r="E1" s="131"/>
      <c r="F1" s="131"/>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row>
    <row r="2" spans="1:58" ht="15.75" customHeight="1" x14ac:dyDescent="0.25">
      <c r="A2" s="6"/>
      <c r="B2" s="6" t="s">
        <v>4</v>
      </c>
      <c r="C2" s="7">
        <v>1</v>
      </c>
      <c r="D2" s="7">
        <v>2</v>
      </c>
      <c r="E2" s="7">
        <v>3</v>
      </c>
      <c r="F2" s="7">
        <v>4</v>
      </c>
      <c r="G2" s="7">
        <v>5</v>
      </c>
      <c r="H2" s="7">
        <v>6</v>
      </c>
      <c r="I2" s="7">
        <v>7</v>
      </c>
      <c r="J2" s="7">
        <v>8</v>
      </c>
      <c r="K2" s="7">
        <v>9</v>
      </c>
      <c r="L2" s="7">
        <v>10</v>
      </c>
      <c r="M2" s="7">
        <v>11</v>
      </c>
      <c r="N2" s="7">
        <v>12</v>
      </c>
      <c r="O2" s="7">
        <v>13</v>
      </c>
      <c r="P2" s="7">
        <v>14</v>
      </c>
      <c r="Q2" s="7">
        <v>15</v>
      </c>
      <c r="R2" s="7">
        <v>16</v>
      </c>
      <c r="S2" s="7">
        <v>17</v>
      </c>
      <c r="T2" s="7">
        <v>18</v>
      </c>
      <c r="U2" s="7">
        <v>19</v>
      </c>
      <c r="V2" s="7">
        <v>20</v>
      </c>
      <c r="W2" s="7">
        <v>21</v>
      </c>
      <c r="X2" s="7">
        <v>22</v>
      </c>
      <c r="Y2" s="7">
        <v>23</v>
      </c>
      <c r="Z2" s="7">
        <v>24</v>
      </c>
      <c r="AA2" s="7">
        <v>25</v>
      </c>
      <c r="AB2" s="7">
        <v>26</v>
      </c>
      <c r="AC2" s="7">
        <v>27</v>
      </c>
      <c r="AD2" s="7">
        <v>28</v>
      </c>
      <c r="AE2" s="7">
        <v>29</v>
      </c>
      <c r="AF2" s="7">
        <v>30</v>
      </c>
      <c r="AG2" s="7">
        <v>31</v>
      </c>
      <c r="AH2" s="7">
        <v>32</v>
      </c>
      <c r="AI2" s="7">
        <v>33</v>
      </c>
      <c r="AJ2" s="7">
        <v>34</v>
      </c>
      <c r="AK2" s="7">
        <v>35</v>
      </c>
      <c r="AL2" s="7">
        <v>36</v>
      </c>
      <c r="AM2" s="7">
        <v>37</v>
      </c>
      <c r="AN2" s="7">
        <v>38</v>
      </c>
      <c r="AO2" s="7">
        <v>39</v>
      </c>
      <c r="AP2" s="7">
        <v>40</v>
      </c>
      <c r="AQ2" s="7">
        <v>41</v>
      </c>
      <c r="AR2" s="7">
        <v>42</v>
      </c>
      <c r="AS2" s="7">
        <v>43</v>
      </c>
      <c r="AT2" s="7">
        <v>44</v>
      </c>
      <c r="AU2" s="56">
        <v>45</v>
      </c>
      <c r="AV2" s="56">
        <v>46</v>
      </c>
      <c r="AW2" s="56">
        <v>47</v>
      </c>
      <c r="AX2" s="56">
        <v>48</v>
      </c>
      <c r="AY2" s="56">
        <v>49</v>
      </c>
      <c r="AZ2" s="56">
        <v>50</v>
      </c>
      <c r="BA2" s="56">
        <v>51</v>
      </c>
      <c r="BB2" s="56">
        <v>52</v>
      </c>
      <c r="BE2" s="43" t="s">
        <v>34</v>
      </c>
      <c r="BF2" s="43" t="s">
        <v>33</v>
      </c>
    </row>
    <row r="3" spans="1:58" ht="15.75" customHeight="1" x14ac:dyDescent="0.25">
      <c r="A3" s="8"/>
      <c r="B3" s="2"/>
      <c r="C3" s="13" t="s">
        <v>9</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spans="1:58" ht="15.75" customHeight="1" x14ac:dyDescent="0.25">
      <c r="A4" s="2" t="s">
        <v>5</v>
      </c>
      <c r="B4" s="15" t="s">
        <v>6</v>
      </c>
      <c r="C4" s="9"/>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row>
    <row r="5" spans="1:58" ht="15.75" customHeight="1" x14ac:dyDescent="0.25">
      <c r="A5" s="2">
        <v>44</v>
      </c>
      <c r="B5" s="2">
        <v>23612</v>
      </c>
      <c r="C5" s="16">
        <v>27008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5"/>
      <c r="AV5" s="5"/>
      <c r="AW5" s="5"/>
      <c r="AX5" s="5"/>
      <c r="AY5" s="5"/>
      <c r="AZ5" s="5"/>
      <c r="BA5" s="5"/>
    </row>
    <row r="6" spans="1:58" ht="15.75" customHeight="1" x14ac:dyDescent="0.25">
      <c r="A6" s="2">
        <v>43</v>
      </c>
      <c r="B6" s="2">
        <v>24301</v>
      </c>
      <c r="C6" s="16">
        <v>29864</v>
      </c>
      <c r="D6" s="16">
        <v>26153</v>
      </c>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5"/>
      <c r="AV6" s="5"/>
      <c r="AW6" s="5"/>
      <c r="AX6" s="5"/>
      <c r="AY6" s="5"/>
      <c r="AZ6" s="5"/>
      <c r="BA6" s="5"/>
    </row>
    <row r="7" spans="1:58" ht="15.75" customHeight="1" x14ac:dyDescent="0.25">
      <c r="A7" s="2">
        <v>42</v>
      </c>
      <c r="B7" s="2">
        <v>24460</v>
      </c>
      <c r="C7" s="16">
        <v>29027</v>
      </c>
      <c r="D7" s="16">
        <v>27975</v>
      </c>
      <c r="E7" s="16">
        <v>25075</v>
      </c>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5"/>
      <c r="AV7" s="5"/>
      <c r="AW7" s="5"/>
      <c r="AX7" s="5"/>
      <c r="AY7" s="5"/>
      <c r="AZ7" s="5"/>
      <c r="BA7" s="5"/>
    </row>
    <row r="8" spans="1:58" ht="15.75" customHeight="1" x14ac:dyDescent="0.25">
      <c r="A8" s="2">
        <v>41</v>
      </c>
      <c r="B8" s="2">
        <v>24277</v>
      </c>
      <c r="C8" s="16">
        <v>28184</v>
      </c>
      <c r="D8" s="16">
        <v>26953</v>
      </c>
      <c r="E8" s="16">
        <v>26917</v>
      </c>
      <c r="F8" s="16">
        <v>24331</v>
      </c>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5"/>
      <c r="AV8" s="5"/>
      <c r="AW8" s="5"/>
      <c r="AX8" s="5"/>
      <c r="AY8" s="5"/>
      <c r="AZ8" s="5"/>
      <c r="BA8" s="5"/>
    </row>
    <row r="9" spans="1:58" ht="15.75" customHeight="1" x14ac:dyDescent="0.25">
      <c r="A9" s="2">
        <v>40</v>
      </c>
      <c r="B9" s="2">
        <v>25293</v>
      </c>
      <c r="C9" s="16">
        <v>28852</v>
      </c>
      <c r="D9" s="16">
        <v>27636</v>
      </c>
      <c r="E9" s="16">
        <v>27277</v>
      </c>
      <c r="F9" s="16">
        <v>28073</v>
      </c>
      <c r="G9" s="16">
        <v>24665</v>
      </c>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5"/>
      <c r="AV9" s="5"/>
      <c r="AW9" s="5"/>
      <c r="AX9" s="5"/>
      <c r="AY9" s="5"/>
      <c r="AZ9" s="5"/>
      <c r="BA9" s="5"/>
    </row>
    <row r="10" spans="1:58" ht="15.75" customHeight="1" x14ac:dyDescent="0.25">
      <c r="A10" s="2">
        <v>39</v>
      </c>
      <c r="B10" s="2">
        <v>29262</v>
      </c>
      <c r="C10" s="16">
        <v>35470</v>
      </c>
      <c r="D10" s="16">
        <v>33432</v>
      </c>
      <c r="E10" s="16">
        <v>32803</v>
      </c>
      <c r="F10" s="16">
        <v>32980</v>
      </c>
      <c r="G10" s="16">
        <v>33258</v>
      </c>
      <c r="H10" s="16">
        <v>29904</v>
      </c>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5"/>
      <c r="AV10" s="5"/>
      <c r="AW10" s="5"/>
      <c r="AX10" s="5"/>
      <c r="AY10" s="5"/>
      <c r="AZ10" s="5"/>
      <c r="BA10" s="5"/>
    </row>
    <row r="11" spans="1:58" ht="15.75" customHeight="1" x14ac:dyDescent="0.25">
      <c r="A11" s="2">
        <v>38</v>
      </c>
      <c r="B11" s="2">
        <v>28848</v>
      </c>
      <c r="C11" s="16">
        <v>35058</v>
      </c>
      <c r="D11" s="16">
        <v>33189</v>
      </c>
      <c r="E11" s="16">
        <v>32245</v>
      </c>
      <c r="F11" s="16">
        <v>32348</v>
      </c>
      <c r="G11" s="16">
        <v>31995</v>
      </c>
      <c r="H11" s="16">
        <v>32436</v>
      </c>
      <c r="I11" s="16">
        <v>29387</v>
      </c>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5"/>
      <c r="AV11" s="5"/>
      <c r="AW11" s="5"/>
      <c r="AX11" s="5"/>
      <c r="AY11" s="5"/>
      <c r="AZ11" s="5"/>
      <c r="BA11" s="5"/>
    </row>
    <row r="12" spans="1:58" ht="15.75" customHeight="1" x14ac:dyDescent="0.25">
      <c r="A12" s="2">
        <v>37</v>
      </c>
      <c r="B12" s="2">
        <v>28741</v>
      </c>
      <c r="C12" s="16">
        <v>10378</v>
      </c>
      <c r="D12" s="16">
        <v>9657</v>
      </c>
      <c r="E12" s="16">
        <v>9533</v>
      </c>
      <c r="F12" s="16">
        <v>9368</v>
      </c>
      <c r="G12" s="16">
        <v>9222</v>
      </c>
      <c r="H12" s="16">
        <v>8995</v>
      </c>
      <c r="I12" s="16">
        <v>9300</v>
      </c>
      <c r="J12" s="16">
        <v>8092</v>
      </c>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5"/>
      <c r="AV12" s="5"/>
      <c r="AW12" s="5"/>
      <c r="AX12" s="5"/>
      <c r="AY12" s="5"/>
      <c r="AZ12" s="5"/>
      <c r="BA12" s="5"/>
    </row>
    <row r="13" spans="1:58" ht="15.75" customHeight="1" x14ac:dyDescent="0.25">
      <c r="A13" s="2">
        <v>36</v>
      </c>
      <c r="B13" s="2">
        <v>22074</v>
      </c>
      <c r="C13" s="16">
        <v>9080</v>
      </c>
      <c r="D13" s="16">
        <v>8689</v>
      </c>
      <c r="E13" s="16">
        <v>8544</v>
      </c>
      <c r="F13" s="16">
        <v>8720</v>
      </c>
      <c r="G13" s="16">
        <v>8368</v>
      </c>
      <c r="H13" s="16">
        <v>8394</v>
      </c>
      <c r="I13" s="16">
        <v>8393</v>
      </c>
      <c r="J13" s="16">
        <v>8436</v>
      </c>
      <c r="K13" s="16">
        <v>7715</v>
      </c>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5"/>
      <c r="AV13" s="5"/>
      <c r="AW13" s="5"/>
      <c r="AX13" s="5"/>
      <c r="AY13" s="5"/>
      <c r="AZ13" s="5"/>
      <c r="BA13" s="5"/>
    </row>
    <row r="14" spans="1:58" ht="15.75" customHeight="1" x14ac:dyDescent="0.25">
      <c r="A14" s="2">
        <v>35</v>
      </c>
      <c r="B14" s="2">
        <v>24252</v>
      </c>
      <c r="C14" s="16">
        <v>11005</v>
      </c>
      <c r="D14" s="16">
        <v>10731</v>
      </c>
      <c r="E14" s="16">
        <v>10638</v>
      </c>
      <c r="F14" s="16">
        <v>10792</v>
      </c>
      <c r="G14" s="16">
        <v>10507</v>
      </c>
      <c r="H14" s="16">
        <v>10472</v>
      </c>
      <c r="I14" s="16">
        <v>10579</v>
      </c>
      <c r="J14" s="16">
        <v>10650</v>
      </c>
      <c r="K14" s="16">
        <v>10801</v>
      </c>
      <c r="L14" s="16">
        <v>9779</v>
      </c>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5"/>
      <c r="AV14" s="5"/>
      <c r="AW14" s="5"/>
      <c r="AX14" s="5"/>
      <c r="AY14" s="5"/>
      <c r="AZ14" s="5"/>
      <c r="BA14" s="5"/>
    </row>
    <row r="15" spans="1:58" ht="15.75" customHeight="1" x14ac:dyDescent="0.25">
      <c r="A15" s="2">
        <v>34</v>
      </c>
      <c r="B15" s="2">
        <v>28525</v>
      </c>
      <c r="C15" s="16">
        <v>13434</v>
      </c>
      <c r="D15" s="16">
        <v>13126</v>
      </c>
      <c r="E15" s="16">
        <v>13208</v>
      </c>
      <c r="F15" s="16">
        <v>13442</v>
      </c>
      <c r="G15" s="16">
        <v>13341</v>
      </c>
      <c r="H15" s="16">
        <v>13292</v>
      </c>
      <c r="I15" s="16">
        <v>13136</v>
      </c>
      <c r="J15" s="16">
        <v>13387</v>
      </c>
      <c r="K15" s="16">
        <v>13559</v>
      </c>
      <c r="L15" s="16">
        <v>13662</v>
      </c>
      <c r="M15" s="16">
        <v>12615</v>
      </c>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5"/>
      <c r="AV15" s="5"/>
      <c r="AW15" s="5"/>
      <c r="AX15" s="5"/>
      <c r="AY15" s="5"/>
      <c r="AZ15" s="5"/>
      <c r="BA15" s="5"/>
    </row>
    <row r="16" spans="1:58" ht="15.75" customHeight="1" x14ac:dyDescent="0.25">
      <c r="A16" s="2">
        <v>33</v>
      </c>
      <c r="B16" s="2">
        <v>30221</v>
      </c>
      <c r="C16" s="16">
        <v>14630</v>
      </c>
      <c r="D16" s="16">
        <v>14183</v>
      </c>
      <c r="E16" s="16">
        <v>14230</v>
      </c>
      <c r="F16" s="16">
        <v>14722</v>
      </c>
      <c r="G16" s="16">
        <v>14829</v>
      </c>
      <c r="H16" s="16">
        <v>14817</v>
      </c>
      <c r="I16" s="16">
        <v>14804</v>
      </c>
      <c r="J16" s="16">
        <v>14762</v>
      </c>
      <c r="K16" s="16">
        <v>14796</v>
      </c>
      <c r="L16" s="16">
        <v>14841</v>
      </c>
      <c r="M16" s="16">
        <v>15182</v>
      </c>
      <c r="N16" s="16">
        <v>13856</v>
      </c>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5"/>
      <c r="AV16" s="5"/>
      <c r="AW16" s="5"/>
      <c r="AX16" s="5"/>
      <c r="AY16" s="5"/>
      <c r="AZ16" s="5"/>
      <c r="BA16" s="5"/>
    </row>
    <row r="17" spans="1:58" ht="15.75" customHeight="1" x14ac:dyDescent="0.25">
      <c r="A17" s="2">
        <v>32</v>
      </c>
      <c r="B17" s="2">
        <v>26927</v>
      </c>
      <c r="C17" s="16">
        <v>12641</v>
      </c>
      <c r="D17" s="16">
        <v>12378</v>
      </c>
      <c r="E17" s="16">
        <v>12511</v>
      </c>
      <c r="F17" s="16">
        <v>12756</v>
      </c>
      <c r="G17" s="16">
        <v>12908</v>
      </c>
      <c r="H17" s="16">
        <v>12918</v>
      </c>
      <c r="I17" s="16">
        <v>13191</v>
      </c>
      <c r="J17" s="16">
        <v>12938</v>
      </c>
      <c r="K17" s="16">
        <v>12885</v>
      </c>
      <c r="L17" s="16">
        <v>13064</v>
      </c>
      <c r="M17" s="16">
        <v>12998</v>
      </c>
      <c r="N17" s="16">
        <v>13155</v>
      </c>
      <c r="O17" s="16">
        <v>11980</v>
      </c>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5"/>
      <c r="AV17" s="5"/>
      <c r="AW17" s="5"/>
      <c r="AX17" s="5"/>
      <c r="AY17" s="5"/>
      <c r="AZ17" s="5"/>
      <c r="BA17" s="5"/>
    </row>
    <row r="18" spans="1:58" ht="15.75" customHeight="1" x14ac:dyDescent="0.25">
      <c r="A18" s="2">
        <v>31</v>
      </c>
      <c r="B18" s="2">
        <v>26498</v>
      </c>
      <c r="C18" s="16">
        <v>18232</v>
      </c>
      <c r="D18" s="16">
        <v>18216</v>
      </c>
      <c r="E18" s="16">
        <v>18357</v>
      </c>
      <c r="F18" s="16">
        <v>18593</v>
      </c>
      <c r="G18" s="16">
        <v>18750</v>
      </c>
      <c r="H18" s="16">
        <v>19060</v>
      </c>
      <c r="I18" s="16">
        <v>19372</v>
      </c>
      <c r="J18" s="16">
        <v>19466</v>
      </c>
      <c r="K18" s="16">
        <v>19310</v>
      </c>
      <c r="L18" s="16">
        <v>19188</v>
      </c>
      <c r="M18" s="16">
        <v>19548</v>
      </c>
      <c r="N18" s="16">
        <v>19513</v>
      </c>
      <c r="O18" s="16">
        <v>19769</v>
      </c>
      <c r="P18" s="16">
        <v>18175</v>
      </c>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5"/>
      <c r="AV18" s="5"/>
      <c r="AW18" s="5"/>
      <c r="AX18" s="5"/>
      <c r="AY18" s="5"/>
      <c r="AZ18" s="5"/>
      <c r="BA18" s="5"/>
    </row>
    <row r="19" spans="1:58" ht="15.75" customHeight="1" x14ac:dyDescent="0.25">
      <c r="A19" s="2">
        <v>30</v>
      </c>
      <c r="B19" s="2">
        <v>27814</v>
      </c>
      <c r="C19" s="16">
        <v>18605</v>
      </c>
      <c r="D19" s="16">
        <v>18574</v>
      </c>
      <c r="E19" s="16">
        <v>19010</v>
      </c>
      <c r="F19" s="16">
        <v>19560</v>
      </c>
      <c r="G19" s="16">
        <v>19471</v>
      </c>
      <c r="H19" s="16">
        <v>19569</v>
      </c>
      <c r="I19" s="16">
        <v>20084</v>
      </c>
      <c r="J19" s="16">
        <v>20364</v>
      </c>
      <c r="K19" s="16">
        <v>20475</v>
      </c>
      <c r="L19" s="16">
        <v>20338</v>
      </c>
      <c r="M19" s="16">
        <v>20119</v>
      </c>
      <c r="N19" s="16">
        <v>20228</v>
      </c>
      <c r="O19" s="16">
        <v>20317</v>
      </c>
      <c r="P19" s="16">
        <v>20383</v>
      </c>
      <c r="Q19" s="16">
        <v>18778</v>
      </c>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5"/>
      <c r="AV19" s="5"/>
      <c r="AW19" s="5"/>
      <c r="AX19" s="5"/>
      <c r="AY19" s="5"/>
      <c r="AZ19" s="5"/>
      <c r="BA19" s="5"/>
    </row>
    <row r="20" spans="1:58" ht="15.75" customHeight="1" x14ac:dyDescent="0.25">
      <c r="A20" s="2">
        <v>29</v>
      </c>
      <c r="B20" s="2">
        <v>27664</v>
      </c>
      <c r="C20" s="16">
        <v>17970</v>
      </c>
      <c r="D20" s="16">
        <v>17986</v>
      </c>
      <c r="E20" s="16">
        <v>18734</v>
      </c>
      <c r="F20" s="16">
        <v>19597</v>
      </c>
      <c r="G20" s="16">
        <v>19701</v>
      </c>
      <c r="H20" s="16">
        <v>19874</v>
      </c>
      <c r="I20" s="16">
        <v>20077</v>
      </c>
      <c r="J20" s="16">
        <v>20576</v>
      </c>
      <c r="K20" s="16">
        <v>20670</v>
      </c>
      <c r="L20" s="16">
        <v>20519</v>
      </c>
      <c r="M20" s="16">
        <v>20881</v>
      </c>
      <c r="N20" s="16">
        <v>20550</v>
      </c>
      <c r="O20" s="16">
        <v>20661</v>
      </c>
      <c r="P20" s="16">
        <v>20774</v>
      </c>
      <c r="Q20" s="16">
        <v>21032</v>
      </c>
      <c r="R20" s="16">
        <v>18982</v>
      </c>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5"/>
      <c r="AV20" s="5"/>
      <c r="AW20" s="5"/>
      <c r="AX20" s="5"/>
      <c r="AY20" s="5"/>
      <c r="AZ20" s="5"/>
      <c r="BA20" s="5"/>
    </row>
    <row r="21" spans="1:58" ht="15.75" customHeight="1" x14ac:dyDescent="0.25">
      <c r="A21" s="2">
        <v>28</v>
      </c>
      <c r="B21" s="2">
        <v>26366</v>
      </c>
      <c r="C21" s="16">
        <v>16044</v>
      </c>
      <c r="D21" s="16">
        <v>16685</v>
      </c>
      <c r="E21" s="16">
        <v>18243</v>
      </c>
      <c r="F21" s="16">
        <v>20430</v>
      </c>
      <c r="G21" s="16">
        <v>20459</v>
      </c>
      <c r="H21" s="16">
        <v>20693</v>
      </c>
      <c r="I21" s="16">
        <v>20750</v>
      </c>
      <c r="J21" s="16">
        <v>21053</v>
      </c>
      <c r="K21" s="16">
        <v>21401</v>
      </c>
      <c r="L21" s="16">
        <v>21612</v>
      </c>
      <c r="M21" s="16">
        <v>21648</v>
      </c>
      <c r="N21" s="16">
        <v>21502</v>
      </c>
      <c r="O21" s="16">
        <v>21235</v>
      </c>
      <c r="P21" s="16">
        <v>21148</v>
      </c>
      <c r="Q21" s="16">
        <v>21256</v>
      </c>
      <c r="R21" s="16">
        <v>21449</v>
      </c>
      <c r="S21" s="16">
        <v>19539</v>
      </c>
      <c r="T21" s="53">
        <f t="shared" ref="T21:AD29" si="0">S21*$BE21</f>
        <v>19153.306026088849</v>
      </c>
      <c r="U21" s="53">
        <f t="shared" si="0"/>
        <v>18775.225535033085</v>
      </c>
      <c r="V21" s="53">
        <f t="shared" si="0"/>
        <v>18404.608238974688</v>
      </c>
      <c r="W21" s="53">
        <f t="shared" si="0"/>
        <v>18041.306816692686</v>
      </c>
      <c r="X21" s="53">
        <f t="shared" si="0"/>
        <v>17685.176855042628</v>
      </c>
      <c r="Y21" s="53">
        <f t="shared" si="0"/>
        <v>17336.076791552026</v>
      </c>
      <c r="Z21" s="53">
        <f t="shared" si="0"/>
        <v>16993.867858148958</v>
      </c>
      <c r="AA21" s="53">
        <f t="shared" si="0"/>
        <v>16658.414026001436</v>
      </c>
      <c r="AB21" s="53">
        <f t="shared" si="0"/>
        <v>16329.581951445638</v>
      </c>
      <c r="AC21" s="53">
        <f t="shared" si="0"/>
        <v>16007.240922981497</v>
      </c>
      <c r="AD21" s="53">
        <f t="shared" si="0"/>
        <v>15691.262809314578</v>
      </c>
      <c r="AE21" s="53">
        <f t="shared" ref="AE21:BB21" si="1">AD21*$BE21</f>
        <v>15381.522008423603</v>
      </c>
      <c r="AF21" s="53">
        <f t="shared" si="1"/>
        <v>15077.895397633352</v>
      </c>
      <c r="AG21" s="53">
        <f t="shared" si="1"/>
        <v>14780.262284673126</v>
      </c>
      <c r="AH21" s="53">
        <f t="shared" si="1"/>
        <v>14488.504359701292</v>
      </c>
      <c r="AI21" s="53">
        <f t="shared" si="1"/>
        <v>14202.505648276849</v>
      </c>
      <c r="AJ21" s="53">
        <f t="shared" si="1"/>
        <v>13922.152465259322</v>
      </c>
      <c r="AK21" s="53">
        <f t="shared" si="1"/>
        <v>13647.333369618666</v>
      </c>
      <c r="AL21" s="53">
        <f t="shared" si="1"/>
        <v>13377.939120137195</v>
      </c>
      <c r="AM21" s="53">
        <f t="shared" si="1"/>
        <v>13113.86263198595</v>
      </c>
      <c r="AN21" s="53">
        <f t="shared" si="1"/>
        <v>12854.998934158242</v>
      </c>
      <c r="AO21" s="53">
        <f t="shared" si="1"/>
        <v>12601.245127743427</v>
      </c>
      <c r="AP21" s="53">
        <f t="shared" si="1"/>
        <v>12352.500345024358</v>
      </c>
      <c r="AQ21" s="53">
        <f t="shared" si="1"/>
        <v>12108.665709382243</v>
      </c>
      <c r="AR21" s="53">
        <f t="shared" si="1"/>
        <v>11869.644295992955</v>
      </c>
      <c r="AS21" s="53">
        <f t="shared" si="1"/>
        <v>11635.341093299197</v>
      </c>
      <c r="AT21" s="53">
        <f t="shared" si="1"/>
        <v>11405.662965243193</v>
      </c>
      <c r="AU21" s="53">
        <f t="shared" si="1"/>
        <v>11180.518614244887</v>
      </c>
      <c r="AV21" s="53">
        <f t="shared" si="1"/>
        <v>10959.818544910955</v>
      </c>
      <c r="AW21" s="53">
        <f t="shared" si="1"/>
        <v>10743.475028460174</v>
      </c>
      <c r="AX21" s="53">
        <f t="shared" si="1"/>
        <v>10531.402067851033</v>
      </c>
      <c r="AY21" s="53">
        <f t="shared" si="1"/>
        <v>10323.515363597717</v>
      </c>
      <c r="AZ21" s="53">
        <f t="shared" si="1"/>
        <v>10119.732280260861</v>
      </c>
      <c r="BA21" s="53">
        <f t="shared" si="1"/>
        <v>9919.9718135997864</v>
      </c>
      <c r="BB21" s="53">
        <f t="shared" si="1"/>
        <v>9724.1545583731167</v>
      </c>
      <c r="BC21" s="114" t="s">
        <v>32</v>
      </c>
      <c r="BD21" s="129"/>
      <c r="BE21" s="58">
        <f>AVERAGE(S21/R21, R21/Q21,  Q21/P21, P21/O21)</f>
        <v>0.98026030124821384</v>
      </c>
      <c r="BF21" s="123">
        <f>SUM(C21:BB24)</f>
        <v>4565317.3777373638</v>
      </c>
    </row>
    <row r="22" spans="1:58" ht="15.75" customHeight="1" x14ac:dyDescent="0.25">
      <c r="A22" s="2">
        <v>27</v>
      </c>
      <c r="B22" s="2">
        <v>26140</v>
      </c>
      <c r="C22" s="16">
        <v>15813</v>
      </c>
      <c r="D22" s="16">
        <v>16217</v>
      </c>
      <c r="E22" s="16">
        <v>17564</v>
      </c>
      <c r="F22" s="16">
        <v>19338</v>
      </c>
      <c r="G22" s="16">
        <v>19642</v>
      </c>
      <c r="H22" s="16">
        <v>20138</v>
      </c>
      <c r="I22" s="16">
        <v>20402</v>
      </c>
      <c r="J22" s="16">
        <v>20263</v>
      </c>
      <c r="K22" s="16">
        <v>20389</v>
      </c>
      <c r="L22" s="16">
        <v>21074</v>
      </c>
      <c r="M22" s="16">
        <v>21204</v>
      </c>
      <c r="N22" s="16">
        <v>21224</v>
      </c>
      <c r="O22" s="16">
        <v>21014</v>
      </c>
      <c r="P22" s="16">
        <v>20887</v>
      </c>
      <c r="Q22" s="16">
        <v>20975</v>
      </c>
      <c r="R22" s="16">
        <v>20875</v>
      </c>
      <c r="S22" s="16">
        <v>21066</v>
      </c>
      <c r="T22" s="16">
        <v>19311</v>
      </c>
      <c r="U22" s="53">
        <f t="shared" si="0"/>
        <v>18950.297886942684</v>
      </c>
      <c r="V22" s="53">
        <f t="shared" si="0"/>
        <v>18596.333178181572</v>
      </c>
      <c r="W22" s="53">
        <f t="shared" si="0"/>
        <v>18248.980028552451</v>
      </c>
      <c r="X22" s="53">
        <f t="shared" si="0"/>
        <v>17908.114943500426</v>
      </c>
      <c r="Y22" s="53">
        <f t="shared" si="0"/>
        <v>17573.61673517388</v>
      </c>
      <c r="Z22" s="53">
        <f t="shared" si="0"/>
        <v>17245.366479338521</v>
      </c>
      <c r="AA22" s="53">
        <f t="shared" si="0"/>
        <v>16923.247473096213</v>
      </c>
      <c r="AB22" s="53">
        <f t="shared" si="0"/>
        <v>16607.145193393571</v>
      </c>
      <c r="AC22" s="53">
        <f t="shared" si="0"/>
        <v>16296.947256305553</v>
      </c>
      <c r="AD22" s="53">
        <f t="shared" si="0"/>
        <v>15992.543377079566</v>
      </c>
      <c r="AE22" s="53">
        <f t="shared" ref="AE22:BB22" si="2">AD22*$BE22</f>
        <v>15693.825330925903</v>
      </c>
      <c r="AF22" s="53">
        <f t="shared" si="2"/>
        <v>15400.686914540558</v>
      </c>
      <c r="AG22" s="53">
        <f t="shared" si="2"/>
        <v>15113.023908346735</v>
      </c>
      <c r="AH22" s="53">
        <f t="shared" si="2"/>
        <v>14830.734039441635</v>
      </c>
      <c r="AI22" s="53">
        <f t="shared" si="2"/>
        <v>14553.716945235346</v>
      </c>
      <c r="AJ22" s="53">
        <f t="shared" si="2"/>
        <v>14281.874137768906</v>
      </c>
      <c r="AK22" s="53">
        <f t="shared" si="2"/>
        <v>14015.108968698849</v>
      </c>
      <c r="AL22" s="53">
        <f t="shared" si="2"/>
        <v>13753.326594935801</v>
      </c>
      <c r="AM22" s="53">
        <f t="shared" si="2"/>
        <v>13496.433944924889</v>
      </c>
      <c r="AN22" s="53">
        <f t="shared" si="2"/>
        <v>13244.339685555986</v>
      </c>
      <c r="AO22" s="53">
        <f t="shared" si="2"/>
        <v>12996.954189692027</v>
      </c>
      <c r="AP22" s="53">
        <f t="shared" si="2"/>
        <v>12754.189504303853</v>
      </c>
      <c r="AQ22" s="53">
        <f t="shared" si="2"/>
        <v>12515.959319200241</v>
      </c>
      <c r="AR22" s="53">
        <f t="shared" si="2"/>
        <v>12282.17893634203</v>
      </c>
      <c r="AS22" s="53">
        <f t="shared" si="2"/>
        <v>12052.765239729393</v>
      </c>
      <c r="AT22" s="53">
        <f t="shared" si="2"/>
        <v>11827.636665851596</v>
      </c>
      <c r="AU22" s="53">
        <f t="shared" si="2"/>
        <v>11606.713174688692</v>
      </c>
      <c r="AV22" s="53">
        <f t="shared" si="2"/>
        <v>11389.916221254876</v>
      </c>
      <c r="AW22" s="53">
        <f t="shared" si="2"/>
        <v>11177.168727673372</v>
      </c>
      <c r="AX22" s="53">
        <f t="shared" si="2"/>
        <v>10968.395055772904</v>
      </c>
      <c r="AY22" s="53">
        <f t="shared" si="2"/>
        <v>10763.520980196046</v>
      </c>
      <c r="AZ22" s="53">
        <f t="shared" si="2"/>
        <v>10562.473662009859</v>
      </c>
      <c r="BA22" s="53">
        <f t="shared" si="2"/>
        <v>10365.181622809445</v>
      </c>
      <c r="BB22" s="53">
        <f t="shared" si="2"/>
        <v>10171.574719305214</v>
      </c>
      <c r="BC22" s="129"/>
      <c r="BD22" s="129"/>
      <c r="BE22" s="58">
        <f>AVERAGE(T22/S22, S22/R22, R22/Q22, Q22/P22)</f>
        <v>0.98132141716859222</v>
      </c>
      <c r="BF22" s="122"/>
    </row>
    <row r="23" spans="1:58" ht="15.75" customHeight="1" x14ac:dyDescent="0.25">
      <c r="A23" s="2">
        <v>26</v>
      </c>
      <c r="B23" s="2">
        <v>28800</v>
      </c>
      <c r="C23" s="16">
        <v>14464</v>
      </c>
      <c r="D23" s="16">
        <v>15164</v>
      </c>
      <c r="E23" s="16">
        <v>17041</v>
      </c>
      <c r="F23" s="16">
        <v>18753</v>
      </c>
      <c r="G23" s="16">
        <v>19228</v>
      </c>
      <c r="H23" s="16">
        <v>20040</v>
      </c>
      <c r="I23" s="16">
        <v>20603</v>
      </c>
      <c r="J23" s="16">
        <v>21029</v>
      </c>
      <c r="K23" s="16">
        <v>21276</v>
      </c>
      <c r="L23" s="16">
        <v>21281</v>
      </c>
      <c r="M23" s="16">
        <v>21905</v>
      </c>
      <c r="N23" s="16">
        <v>22274</v>
      </c>
      <c r="O23" s="16">
        <v>22256</v>
      </c>
      <c r="P23" s="16">
        <v>22058</v>
      </c>
      <c r="Q23" s="16">
        <v>21531</v>
      </c>
      <c r="R23" s="16">
        <v>21866</v>
      </c>
      <c r="S23" s="16">
        <v>21834</v>
      </c>
      <c r="T23" s="16">
        <v>21740</v>
      </c>
      <c r="U23" s="16">
        <v>20224</v>
      </c>
      <c r="V23" s="53">
        <f t="shared" si="0"/>
        <v>19920.928594050099</v>
      </c>
      <c r="W23" s="53">
        <f t="shared" si="0"/>
        <v>19622.398934396897</v>
      </c>
      <c r="X23" s="53">
        <f t="shared" si="0"/>
        <v>19328.342959656118</v>
      </c>
      <c r="Y23" s="53">
        <f t="shared" si="0"/>
        <v>19038.693628393023</v>
      </c>
      <c r="Z23" s="53">
        <f t="shared" si="0"/>
        <v>18753.384903837719</v>
      </c>
      <c r="AA23" s="53">
        <f t="shared" si="0"/>
        <v>18472.351738829522</v>
      </c>
      <c r="AB23" s="53">
        <f t="shared" si="0"/>
        <v>18195.530060986952</v>
      </c>
      <c r="AC23" s="53">
        <f t="shared" si="0"/>
        <v>17922.856758099937</v>
      </c>
      <c r="AD23" s="53">
        <f t="shared" si="0"/>
        <v>17654.269663740957</v>
      </c>
      <c r="AE23" s="53">
        <f t="shared" ref="AE23:BB23" si="3">AD23*$BE23</f>
        <v>17389.707543091794</v>
      </c>
      <c r="AF23" s="53">
        <f t="shared" si="3"/>
        <v>17129.110078982696</v>
      </c>
      <c r="AG23" s="53">
        <f t="shared" si="3"/>
        <v>16872.417858140732</v>
      </c>
      <c r="AH23" s="53">
        <f t="shared" si="3"/>
        <v>16619.572357644247</v>
      </c>
      <c r="AI23" s="53">
        <f t="shared" si="3"/>
        <v>16370.515931580296</v>
      </c>
      <c r="AJ23" s="53">
        <f t="shared" si="3"/>
        <v>16125.191797902027</v>
      </c>
      <c r="AK23" s="53">
        <f t="shared" si="3"/>
        <v>15883.544025483021</v>
      </c>
      <c r="AL23" s="53">
        <f t="shared" si="3"/>
        <v>15645.517521365622</v>
      </c>
      <c r="AM23" s="53">
        <f t="shared" si="3"/>
        <v>15411.058018200369</v>
      </c>
      <c r="AN23" s="53">
        <f t="shared" si="3"/>
        <v>15180.112061873653</v>
      </c>
      <c r="AO23" s="53">
        <f t="shared" si="3"/>
        <v>14952.62699932079</v>
      </c>
      <c r="AP23" s="53">
        <f t="shared" si="3"/>
        <v>14728.550966521709</v>
      </c>
      <c r="AQ23" s="53">
        <f t="shared" si="3"/>
        <v>14507.83287667655</v>
      </c>
      <c r="AR23" s="53">
        <f t="shared" si="3"/>
        <v>14290.422408558445</v>
      </c>
      <c r="AS23" s="53">
        <f t="shared" si="3"/>
        <v>14076.269995040853</v>
      </c>
      <c r="AT23" s="53">
        <f t="shared" si="3"/>
        <v>13865.326811796815</v>
      </c>
      <c r="AU23" s="53">
        <f t="shared" si="3"/>
        <v>13657.544766167557</v>
      </c>
      <c r="AV23" s="53">
        <f t="shared" si="3"/>
        <v>13452.876486197913</v>
      </c>
      <c r="AW23" s="53">
        <f t="shared" si="3"/>
        <v>13251.275309836048</v>
      </c>
      <c r="AX23" s="53">
        <f t="shared" si="3"/>
        <v>13052.695274295047</v>
      </c>
      <c r="AY23" s="53">
        <f t="shared" si="3"/>
        <v>12857.091105573913</v>
      </c>
      <c r="AZ23" s="53">
        <f t="shared" si="3"/>
        <v>12664.418208135608</v>
      </c>
      <c r="BA23" s="53">
        <f t="shared" si="3"/>
        <v>12474.632654739782</v>
      </c>
      <c r="BB23" s="53">
        <f t="shared" si="3"/>
        <v>12287.691176427848</v>
      </c>
      <c r="BC23" s="129"/>
      <c r="BD23" s="129"/>
      <c r="BE23" s="58">
        <f>AVERAGE(U23/T23, T23/S23, S23/R23, R23/Q23)</f>
        <v>0.98501426987985063</v>
      </c>
      <c r="BF23" s="122"/>
    </row>
    <row r="24" spans="1:58" ht="15.75" customHeight="1" x14ac:dyDescent="0.25">
      <c r="A24" s="2">
        <v>25</v>
      </c>
      <c r="B24" s="2">
        <v>31688</v>
      </c>
      <c r="C24" s="16">
        <v>38743</v>
      </c>
      <c r="D24" s="16">
        <v>38242</v>
      </c>
      <c r="E24" s="16">
        <v>40323</v>
      </c>
      <c r="F24" s="16">
        <v>44109</v>
      </c>
      <c r="G24" s="16">
        <v>44449</v>
      </c>
      <c r="H24" s="16">
        <v>45579</v>
      </c>
      <c r="I24" s="16">
        <v>46623</v>
      </c>
      <c r="J24" s="16">
        <v>47765</v>
      </c>
      <c r="K24" s="16">
        <v>48369</v>
      </c>
      <c r="L24" s="16">
        <v>48672</v>
      </c>
      <c r="M24" s="16">
        <v>48852</v>
      </c>
      <c r="N24" s="16">
        <v>49680</v>
      </c>
      <c r="O24" s="16">
        <v>50166</v>
      </c>
      <c r="P24" s="16">
        <v>50198</v>
      </c>
      <c r="Q24" s="16">
        <v>49501</v>
      </c>
      <c r="R24" s="16">
        <v>49162</v>
      </c>
      <c r="S24" s="16">
        <v>49454</v>
      </c>
      <c r="T24" s="16">
        <v>48933</v>
      </c>
      <c r="U24" s="16">
        <v>49992</v>
      </c>
      <c r="V24" s="16">
        <v>45159</v>
      </c>
      <c r="W24" s="53">
        <f t="shared" si="0"/>
        <v>44260.007061881261</v>
      </c>
      <c r="X24" s="53">
        <f t="shared" si="0"/>
        <v>43378.910629504171</v>
      </c>
      <c r="Y24" s="53">
        <f t="shared" si="0"/>
        <v>42515.354432085973</v>
      </c>
      <c r="Z24" s="53">
        <f t="shared" si="0"/>
        <v>41668.989291226768</v>
      </c>
      <c r="AA24" s="53">
        <f t="shared" si="0"/>
        <v>40839.47297971946</v>
      </c>
      <c r="AB24" s="53">
        <f t="shared" si="0"/>
        <v>40026.470083170396</v>
      </c>
      <c r="AC24" s="53">
        <f t="shared" si="0"/>
        <v>39229.651864374777</v>
      </c>
      <c r="AD24" s="53">
        <f t="shared" si="0"/>
        <v>38448.696130391967</v>
      </c>
      <c r="AE24" s="53">
        <f t="shared" ref="AE24:BB24" si="4">AD24*$BE24</f>
        <v>37683.287102266993</v>
      </c>
      <c r="AF24" s="53">
        <f t="shared" si="4"/>
        <v>36933.115287345514</v>
      </c>
      <c r="AG24" s="53">
        <f t="shared" si="4"/>
        <v>36197.877354130673</v>
      </c>
      <c r="AH24" s="53">
        <f t="shared" si="4"/>
        <v>35477.276009631198</v>
      </c>
      <c r="AI24" s="53">
        <f t="shared" si="4"/>
        <v>34771.019879151165</v>
      </c>
      <c r="AJ24" s="53">
        <f t="shared" si="4"/>
        <v>34078.823388472818</v>
      </c>
      <c r="AK24" s="53">
        <f t="shared" si="4"/>
        <v>33400.406648384844</v>
      </c>
      <c r="AL24" s="53">
        <f t="shared" si="4"/>
        <v>32735.495341509308</v>
      </c>
      <c r="AM24" s="53">
        <f t="shared" si="4"/>
        <v>32083.820611381627</v>
      </c>
      <c r="AN24" s="53">
        <f t="shared" si="4"/>
        <v>31445.118953738616</v>
      </c>
      <c r="AO24" s="53">
        <f t="shared" si="4"/>
        <v>30819.132109970709</v>
      </c>
      <c r="AP24" s="53">
        <f t="shared" si="4"/>
        <v>30205.606962695256</v>
      </c>
      <c r="AQ24" s="53">
        <f t="shared" si="4"/>
        <v>29604.295433408661</v>
      </c>
      <c r="AR24" s="53">
        <f t="shared" si="4"/>
        <v>29014.954382176009</v>
      </c>
      <c r="AS24" s="53">
        <f t="shared" si="4"/>
        <v>28437.345509317583</v>
      </c>
      <c r="AT24" s="53">
        <f t="shared" si="4"/>
        <v>27871.235259052537</v>
      </c>
      <c r="AU24" s="53">
        <f t="shared" si="4"/>
        <v>27316.394725060767</v>
      </c>
      <c r="AV24" s="53">
        <f t="shared" si="4"/>
        <v>26772.599557924786</v>
      </c>
      <c r="AW24" s="53">
        <f t="shared" si="4"/>
        <v>26239.629874414182</v>
      </c>
      <c r="AX24" s="53">
        <f t="shared" si="4"/>
        <v>25717.270168575968</v>
      </c>
      <c r="AY24" s="53">
        <f t="shared" si="4"/>
        <v>25205.309224594886</v>
      </c>
      <c r="AZ24" s="53">
        <f t="shared" si="4"/>
        <v>24703.540031388438</v>
      </c>
      <c r="BA24" s="53">
        <f t="shared" si="4"/>
        <v>24211.759698902071</v>
      </c>
      <c r="BB24" s="53">
        <f t="shared" si="4"/>
        <v>23729.769376070723</v>
      </c>
      <c r="BC24" s="129"/>
      <c r="BD24" s="129"/>
      <c r="BE24" s="58">
        <f>AVERAGE(V24/U24, U24/T24, T24/S24, S24/R24)</f>
        <v>0.98009271821522304</v>
      </c>
      <c r="BF24" s="122"/>
    </row>
    <row r="25" spans="1:58" ht="15.75" customHeight="1" x14ac:dyDescent="0.25">
      <c r="A25" s="2">
        <v>24</v>
      </c>
      <c r="B25" s="2">
        <v>30330</v>
      </c>
      <c r="C25" s="16">
        <v>55994</v>
      </c>
      <c r="D25" s="16">
        <v>53975</v>
      </c>
      <c r="E25" s="16">
        <v>55146</v>
      </c>
      <c r="F25" s="16">
        <v>58686</v>
      </c>
      <c r="G25" s="16">
        <v>59188</v>
      </c>
      <c r="H25" s="16">
        <v>60362</v>
      </c>
      <c r="I25" s="16">
        <v>61771</v>
      </c>
      <c r="J25" s="16">
        <v>63177</v>
      </c>
      <c r="K25" s="16">
        <v>64455</v>
      </c>
      <c r="L25" s="16">
        <v>65022</v>
      </c>
      <c r="M25" s="16">
        <v>64871</v>
      </c>
      <c r="N25" s="16">
        <v>64562</v>
      </c>
      <c r="O25" s="16">
        <v>67322</v>
      </c>
      <c r="P25" s="16">
        <v>67597</v>
      </c>
      <c r="Q25" s="16">
        <v>66927</v>
      </c>
      <c r="R25" s="16">
        <v>65639</v>
      </c>
      <c r="S25" s="16">
        <v>65282</v>
      </c>
      <c r="T25" s="16">
        <v>65129</v>
      </c>
      <c r="U25" s="16">
        <v>65278</v>
      </c>
      <c r="V25" s="16">
        <v>66384</v>
      </c>
      <c r="W25" s="16">
        <v>60159</v>
      </c>
      <c r="X25" s="52">
        <f>W25*$BE25</f>
        <v>59002.66001392794</v>
      </c>
      <c r="Y25" s="52">
        <f t="shared" si="0"/>
        <v>57868.546497102194</v>
      </c>
      <c r="Z25" s="52">
        <f t="shared" si="0"/>
        <v>56756.232225746789</v>
      </c>
      <c r="AA25" s="52">
        <f t="shared" si="0"/>
        <v>55665.298187923312</v>
      </c>
      <c r="AB25" s="52">
        <f t="shared" si="0"/>
        <v>54595.333425687895</v>
      </c>
      <c r="AC25" s="52">
        <f t="shared" si="0"/>
        <v>53545.934880282228</v>
      </c>
      <c r="AD25" s="52">
        <f t="shared" si="0"/>
        <v>52516.707240300166</v>
      </c>
      <c r="AE25" s="52">
        <f t="shared" ref="AE25:BB25" si="5">AD25*$BE25</f>
        <v>51507.262792772795</v>
      </c>
      <c r="AF25" s="52">
        <f t="shared" si="5"/>
        <v>50517.221277115874</v>
      </c>
      <c r="AG25" s="52">
        <f t="shared" si="5"/>
        <v>49546.209741884581</v>
      </c>
      <c r="AH25" s="52">
        <f t="shared" si="5"/>
        <v>48593.862404281659</v>
      </c>
      <c r="AI25" s="52">
        <f t="shared" si="5"/>
        <v>47659.820512365994</v>
      </c>
      <c r="AJ25" s="52">
        <f t="shared" si="5"/>
        <v>46743.732209909729</v>
      </c>
      <c r="AK25" s="52">
        <f t="shared" si="5"/>
        <v>45845.252403853061</v>
      </c>
      <c r="AL25" s="52">
        <f t="shared" si="5"/>
        <v>44964.042634306665</v>
      </c>
      <c r="AM25" s="52">
        <f t="shared" si="5"/>
        <v>44099.770947052923</v>
      </c>
      <c r="AN25" s="52">
        <f t="shared" si="5"/>
        <v>43252.111768497824</v>
      </c>
      <c r="AO25" s="52">
        <f t="shared" si="5"/>
        <v>42420.745783026454</v>
      </c>
      <c r="AP25" s="52">
        <f t="shared" si="5"/>
        <v>41605.35981271592</v>
      </c>
      <c r="AQ25" s="52">
        <f t="shared" si="5"/>
        <v>40805.646699360332</v>
      </c>
      <c r="AR25" s="52">
        <f t="shared" si="5"/>
        <v>40021.305188763421</v>
      </c>
      <c r="AS25" s="52">
        <f t="shared" si="5"/>
        <v>39252.039817255245</v>
      </c>
      <c r="AT25" s="52">
        <f t="shared" si="5"/>
        <v>38497.560800390187</v>
      </c>
      <c r="AU25" s="52">
        <f t="shared" si="5"/>
        <v>37757.583923784332</v>
      </c>
      <c r="AV25" s="52">
        <f t="shared" si="5"/>
        <v>37031.830436051103</v>
      </c>
      <c r="AW25" s="52">
        <f t="shared" si="5"/>
        <v>36320.026943794808</v>
      </c>
      <c r="AX25" s="52">
        <f t="shared" si="5"/>
        <v>35621.905308622605</v>
      </c>
      <c r="AY25" s="52">
        <f t="shared" si="5"/>
        <v>34937.202546135981</v>
      </c>
      <c r="AZ25" s="52">
        <f t="shared" si="5"/>
        <v>34265.660726863789</v>
      </c>
      <c r="BA25" s="52">
        <f t="shared" si="5"/>
        <v>33607.026879099503</v>
      </c>
      <c r="BB25" s="52">
        <f t="shared" si="5"/>
        <v>32961.052893606036</v>
      </c>
      <c r="BC25" s="114" t="s">
        <v>31</v>
      </c>
      <c r="BD25" s="114"/>
      <c r="BE25" s="58">
        <f>AVERAGE(W25/V25, V25/U25, U25/T25, T25/S25)</f>
        <v>0.98077860359926095</v>
      </c>
      <c r="BF25" s="123">
        <f>SUM(C25:BB28)</f>
        <v>5671769.7588978549</v>
      </c>
    </row>
    <row r="26" spans="1:58" ht="15.75" customHeight="1" x14ac:dyDescent="0.25">
      <c r="A26" s="2">
        <v>23</v>
      </c>
      <c r="B26" s="2">
        <v>24364</v>
      </c>
      <c r="C26" s="16">
        <v>20952</v>
      </c>
      <c r="D26" s="16">
        <v>20986</v>
      </c>
      <c r="E26" s="16">
        <v>21196</v>
      </c>
      <c r="F26" s="16">
        <v>21668</v>
      </c>
      <c r="G26" s="16">
        <v>22128</v>
      </c>
      <c r="H26" s="16">
        <v>22766</v>
      </c>
      <c r="I26" s="16">
        <v>23169</v>
      </c>
      <c r="J26" s="16">
        <v>23551</v>
      </c>
      <c r="K26" s="16">
        <v>24117</v>
      </c>
      <c r="L26" s="16">
        <v>24530</v>
      </c>
      <c r="M26" s="16">
        <v>24614</v>
      </c>
      <c r="N26" s="16">
        <v>24392</v>
      </c>
      <c r="O26" s="16">
        <v>24647</v>
      </c>
      <c r="P26" s="16">
        <v>25214</v>
      </c>
      <c r="Q26" s="16">
        <v>25056</v>
      </c>
      <c r="R26" s="16">
        <v>24955</v>
      </c>
      <c r="S26" s="16">
        <v>24712</v>
      </c>
      <c r="T26" s="16">
        <v>24533</v>
      </c>
      <c r="U26" s="16">
        <v>24617</v>
      </c>
      <c r="V26" s="16">
        <v>24645</v>
      </c>
      <c r="W26" s="16">
        <v>24742</v>
      </c>
      <c r="X26" s="16">
        <v>22369</v>
      </c>
      <c r="Y26" s="52">
        <f t="shared" si="0"/>
        <v>21880.167365961854</v>
      </c>
      <c r="Z26" s="52">
        <f t="shared" si="0"/>
        <v>21402.017254347626</v>
      </c>
      <c r="AA26" s="52">
        <f t="shared" si="0"/>
        <v>20934.316218620832</v>
      </c>
      <c r="AB26" s="52">
        <f t="shared" si="0"/>
        <v>20476.835913782175</v>
      </c>
      <c r="AC26" s="52">
        <f t="shared" si="0"/>
        <v>20029.352984884994</v>
      </c>
      <c r="AD26" s="52">
        <f t="shared" si="0"/>
        <v>19591.648957987003</v>
      </c>
      <c r="AE26" s="52">
        <f t="shared" ref="AE26:BB26" si="6">AD26*$BE26</f>
        <v>19163.510133485081</v>
      </c>
      <c r="AF26" s="52">
        <f t="shared" si="6"/>
        <v>18744.727481781014</v>
      </c>
      <c r="AG26" s="52">
        <f t="shared" si="6"/>
        <v>18335.096541227289</v>
      </c>
      <c r="AH26" s="52">
        <f t="shared" si="6"/>
        <v>17934.417318303069</v>
      </c>
      <c r="AI26" s="52">
        <f t="shared" si="6"/>
        <v>17542.494189971654</v>
      </c>
      <c r="AJ26" s="52">
        <f t="shared" si="6"/>
        <v>17159.135808171719</v>
      </c>
      <c r="AK26" s="52">
        <f t="shared" si="6"/>
        <v>16784.15500639574</v>
      </c>
      <c r="AL26" s="52">
        <f t="shared" si="6"/>
        <v>16417.368708309954</v>
      </c>
      <c r="AM26" s="52">
        <f t="shared" si="6"/>
        <v>16058.597838371261</v>
      </c>
      <c r="AN26" s="52">
        <f t="shared" si="6"/>
        <v>15707.667234397444</v>
      </c>
      <c r="AO26" s="52">
        <f t="shared" si="6"/>
        <v>15364.405562047978</v>
      </c>
      <c r="AP26" s="52">
        <f t="shared" si="6"/>
        <v>15028.645231173719</v>
      </c>
      <c r="AQ26" s="52">
        <f t="shared" si="6"/>
        <v>14700.222313994611</v>
      </c>
      <c r="AR26" s="52">
        <f t="shared" si="6"/>
        <v>14378.976465065452</v>
      </c>
      <c r="AS26" s="52">
        <f t="shared" si="6"/>
        <v>14064.750842990685</v>
      </c>
      <c r="AT26" s="52">
        <f t="shared" si="6"/>
        <v>13757.392033849937</v>
      </c>
      <c r="AU26" s="52">
        <f t="shared" si="6"/>
        <v>13456.749976296971</v>
      </c>
      <c r="AV26" s="52">
        <f t="shared" si="6"/>
        <v>13162.67788829545</v>
      </c>
      <c r="AW26" s="52">
        <f t="shared" si="6"/>
        <v>12875.032195455755</v>
      </c>
      <c r="AX26" s="52">
        <f t="shared" si="6"/>
        <v>12593.672460937869</v>
      </c>
      <c r="AY26" s="52">
        <f t="shared" si="6"/>
        <v>12318.461316886103</v>
      </c>
      <c r="AZ26" s="52">
        <f t="shared" si="6"/>
        <v>12049.264397362189</v>
      </c>
      <c r="BA26" s="52">
        <f t="shared" si="6"/>
        <v>11785.950272743983</v>
      </c>
      <c r="BB26" s="52">
        <f t="shared" si="6"/>
        <v>11528.390385557785</v>
      </c>
      <c r="BC26" s="114"/>
      <c r="BD26" s="114"/>
      <c r="BE26" s="58">
        <f>AVERAGE(X26/W26, W26/V26, V26/U26, U26/T26)</f>
        <v>0.97814687138279999</v>
      </c>
      <c r="BF26" s="122"/>
    </row>
    <row r="27" spans="1:58" ht="15.75" customHeight="1" x14ac:dyDescent="0.25">
      <c r="A27" s="2">
        <v>22</v>
      </c>
      <c r="B27" s="2">
        <v>21213</v>
      </c>
      <c r="C27" s="16">
        <v>17804</v>
      </c>
      <c r="D27" s="16">
        <v>18039</v>
      </c>
      <c r="E27" s="16">
        <v>18775</v>
      </c>
      <c r="F27" s="16">
        <v>19219</v>
      </c>
      <c r="G27" s="16">
        <v>19113</v>
      </c>
      <c r="H27" s="16">
        <v>19897</v>
      </c>
      <c r="I27" s="16">
        <v>20164</v>
      </c>
      <c r="J27" s="16">
        <v>20281</v>
      </c>
      <c r="K27" s="16">
        <v>20655</v>
      </c>
      <c r="L27" s="16">
        <v>21271</v>
      </c>
      <c r="M27" s="16">
        <v>21564</v>
      </c>
      <c r="N27" s="16">
        <v>21729</v>
      </c>
      <c r="O27" s="16">
        <v>21296</v>
      </c>
      <c r="P27" s="16">
        <v>21828</v>
      </c>
      <c r="Q27" s="16">
        <v>22148</v>
      </c>
      <c r="R27" s="16">
        <v>21936</v>
      </c>
      <c r="S27" s="16">
        <v>22121</v>
      </c>
      <c r="T27" s="16">
        <v>21611</v>
      </c>
      <c r="U27" s="16">
        <v>21120</v>
      </c>
      <c r="V27" s="16">
        <v>21340</v>
      </c>
      <c r="W27" s="16">
        <v>21130</v>
      </c>
      <c r="X27" s="16">
        <v>21554</v>
      </c>
      <c r="Y27" s="16">
        <v>19746</v>
      </c>
      <c r="Z27" s="52">
        <f t="shared" si="0"/>
        <v>19433.815277747086</v>
      </c>
      <c r="AA27" s="52">
        <f t="shared" si="0"/>
        <v>19126.56620326122</v>
      </c>
      <c r="AB27" s="52">
        <f t="shared" si="0"/>
        <v>18824.174743835662</v>
      </c>
      <c r="AC27" s="52">
        <f t="shared" si="0"/>
        <v>18526.56410046259</v>
      </c>
      <c r="AD27" s="52">
        <f t="shared" si="0"/>
        <v>18233.658688328298</v>
      </c>
      <c r="AE27" s="52">
        <f t="shared" ref="AE27:BB27" si="7">AD27*$BE27</f>
        <v>17945.384117616752</v>
      </c>
      <c r="AF27" s="52">
        <f t="shared" si="7"/>
        <v>17661.66717461665</v>
      </c>
      <c r="AG27" s="52">
        <f t="shared" si="7"/>
        <v>17382.43580312718</v>
      </c>
      <c r="AH27" s="52">
        <f t="shared" si="7"/>
        <v>17107.619086157749</v>
      </c>
      <c r="AI27" s="52">
        <f t="shared" si="7"/>
        <v>16837.147227917052</v>
      </c>
      <c r="AJ27" s="52">
        <f t="shared" si="7"/>
        <v>16570.951536086875</v>
      </c>
      <c r="AK27" s="52">
        <f t="shared" si="7"/>
        <v>16308.96440437616</v>
      </c>
      <c r="AL27" s="52">
        <f t="shared" si="7"/>
        <v>16051.119295350898</v>
      </c>
      <c r="AM27" s="52">
        <f t="shared" si="7"/>
        <v>15797.350723535466</v>
      </c>
      <c r="AN27" s="52">
        <f t="shared" si="7"/>
        <v>15547.594238781146</v>
      </c>
      <c r="AO27" s="52">
        <f t="shared" si="7"/>
        <v>15301.786409897581</v>
      </c>
      <c r="AP27" s="52">
        <f t="shared" si="7"/>
        <v>15059.864808543014</v>
      </c>
      <c r="AQ27" s="52">
        <f t="shared" si="7"/>
        <v>14821.767993369236</v>
      </c>
      <c r="AR27" s="52">
        <f t="shared" si="7"/>
        <v>14587.43549441719</v>
      </c>
      <c r="AS27" s="52">
        <f t="shared" si="7"/>
        <v>14356.807797759289</v>
      </c>
      <c r="AT27" s="52">
        <f t="shared" si="7"/>
        <v>14129.826330384532</v>
      </c>
      <c r="AU27" s="52">
        <f t="shared" si="7"/>
        <v>13906.433445322597</v>
      </c>
      <c r="AV27" s="52">
        <f t="shared" si="7"/>
        <v>13686.572407003106</v>
      </c>
      <c r="AW27" s="52">
        <f t="shared" si="7"/>
        <v>13470.187376846383</v>
      </c>
      <c r="AX27" s="52">
        <f t="shared" si="7"/>
        <v>13257.223399082</v>
      </c>
      <c r="AY27" s="52">
        <f t="shared" si="7"/>
        <v>13047.62638679155</v>
      </c>
      <c r="AZ27" s="52">
        <f t="shared" si="7"/>
        <v>12841.343108172066</v>
      </c>
      <c r="BA27" s="52">
        <f t="shared" si="7"/>
        <v>12638.321173016639</v>
      </c>
      <c r="BB27" s="52">
        <f t="shared" si="7"/>
        <v>12438.509019408753</v>
      </c>
      <c r="BC27" s="114"/>
      <c r="BD27" s="114"/>
      <c r="BE27" s="58">
        <f>AVERAGE(Y27/X27, X27/W27, W27/V27, V27/U27)</f>
        <v>0.98418997659004792</v>
      </c>
      <c r="BF27" s="122"/>
    </row>
    <row r="28" spans="1:58" ht="12.5" x14ac:dyDescent="0.25">
      <c r="A28" s="2">
        <v>21</v>
      </c>
      <c r="B28" s="2">
        <v>24263</v>
      </c>
      <c r="C28" s="16">
        <v>20780</v>
      </c>
      <c r="D28" s="16">
        <v>20983</v>
      </c>
      <c r="E28" s="16">
        <v>21824</v>
      </c>
      <c r="F28" s="16">
        <v>22654</v>
      </c>
      <c r="G28" s="16">
        <v>22364</v>
      </c>
      <c r="H28" s="16">
        <v>22541</v>
      </c>
      <c r="I28" s="16">
        <v>23379</v>
      </c>
      <c r="J28" s="16">
        <v>23485</v>
      </c>
      <c r="K28" s="16">
        <v>23618</v>
      </c>
      <c r="L28" s="16">
        <v>24165</v>
      </c>
      <c r="M28" s="16">
        <v>24616</v>
      </c>
      <c r="N28" s="16">
        <v>24946</v>
      </c>
      <c r="O28" s="16">
        <v>24985</v>
      </c>
      <c r="P28" s="16">
        <v>24667</v>
      </c>
      <c r="Q28" s="16">
        <v>24927</v>
      </c>
      <c r="R28" s="16">
        <v>25484</v>
      </c>
      <c r="S28" s="16">
        <v>25716</v>
      </c>
      <c r="T28" s="16">
        <v>25483</v>
      </c>
      <c r="U28" s="16">
        <v>25109</v>
      </c>
      <c r="V28" s="16">
        <v>24728</v>
      </c>
      <c r="W28" s="16">
        <v>24929</v>
      </c>
      <c r="X28" s="16">
        <v>24819</v>
      </c>
      <c r="Y28" s="16">
        <v>24964</v>
      </c>
      <c r="Z28" s="16">
        <v>22469</v>
      </c>
      <c r="AA28" s="52">
        <f t="shared" si="0"/>
        <v>21961.280841319352</v>
      </c>
      <c r="AB28" s="52">
        <f t="shared" si="0"/>
        <v>21465.034322457628</v>
      </c>
      <c r="AC28" s="52">
        <f t="shared" si="0"/>
        <v>20980.001202726024</v>
      </c>
      <c r="AD28" s="52">
        <f t="shared" si="0"/>
        <v>20505.928099349501</v>
      </c>
      <c r="AE28" s="52">
        <f t="shared" ref="AE28:BB28" si="8">AD28*$BE28</f>
        <v>20042.567355098861</v>
      </c>
      <c r="AF28" s="52">
        <f t="shared" si="8"/>
        <v>19589.676908913851</v>
      </c>
      <c r="AG28" s="52">
        <f t="shared" si="8"/>
        <v>19147.020169449723</v>
      </c>
      <c r="AH28" s="52">
        <f t="shared" si="8"/>
        <v>18714.365891481215</v>
      </c>
      <c r="AI28" s="52">
        <f t="shared" si="8"/>
        <v>18291.488055099326</v>
      </c>
      <c r="AJ28" s="52">
        <f t="shared" si="8"/>
        <v>17878.165747637839</v>
      </c>
      <c r="AK28" s="52">
        <f t="shared" si="8"/>
        <v>17474.183048267867</v>
      </c>
      <c r="AL28" s="52">
        <f t="shared" si="8"/>
        <v>17079.328915200163</v>
      </c>
      <c r="AM28" s="52">
        <f t="shared" si="8"/>
        <v>16693.397075436245</v>
      </c>
      <c r="AN28" s="52">
        <f t="shared" si="8"/>
        <v>16316.185917010749</v>
      </c>
      <c r="AO28" s="52">
        <f t="shared" si="8"/>
        <v>15947.498383668733</v>
      </c>
      <c r="AP28" s="52">
        <f t="shared" si="8"/>
        <v>15587.141871922893</v>
      </c>
      <c r="AQ28" s="52">
        <f t="shared" si="8"/>
        <v>15234.928130436909</v>
      </c>
      <c r="AR28" s="52">
        <f t="shared" si="8"/>
        <v>14890.673161682378</v>
      </c>
      <c r="AS28" s="52">
        <f t="shared" si="8"/>
        <v>14554.197125817947</v>
      </c>
      <c r="AT28" s="52">
        <f t="shared" si="8"/>
        <v>14225.324246740436</v>
      </c>
      <c r="AU28" s="52">
        <f t="shared" si="8"/>
        <v>13903.882720258862</v>
      </c>
      <c r="AV28" s="52">
        <f t="shared" si="8"/>
        <v>13589.704624343412</v>
      </c>
      <c r="AW28" s="52">
        <f t="shared" si="8"/>
        <v>13282.625831402465</v>
      </c>
      <c r="AX28" s="52">
        <f t="shared" si="8"/>
        <v>12982.485922541835</v>
      </c>
      <c r="AY28" s="52">
        <f t="shared" si="8"/>
        <v>12689.128103761457</v>
      </c>
      <c r="AZ28" s="52">
        <f t="shared" si="8"/>
        <v>12402.399124045727</v>
      </c>
      <c r="BA28" s="52">
        <f t="shared" si="8"/>
        <v>12122.149195304701</v>
      </c>
      <c r="BB28" s="52">
        <f t="shared" si="8"/>
        <v>11848.231914124346</v>
      </c>
      <c r="BC28" s="114"/>
      <c r="BD28" s="114"/>
      <c r="BE28" s="58">
        <f>AVERAGE(Z28/Y28, Y28/X28, X28/W28, W28/V28)</f>
        <v>0.97740357120118171</v>
      </c>
      <c r="BF28" s="122"/>
    </row>
    <row r="29" spans="1:58" ht="12.5" x14ac:dyDescent="0.25">
      <c r="A29" s="2">
        <v>20</v>
      </c>
      <c r="B29" s="2">
        <v>24753</v>
      </c>
      <c r="C29" s="16">
        <v>22217</v>
      </c>
      <c r="D29" s="16">
        <v>22251</v>
      </c>
      <c r="E29" s="16">
        <v>23268</v>
      </c>
      <c r="F29" s="16">
        <v>24697</v>
      </c>
      <c r="G29" s="16">
        <v>24845</v>
      </c>
      <c r="H29" s="16">
        <v>24513</v>
      </c>
      <c r="I29" s="16">
        <v>24760</v>
      </c>
      <c r="J29" s="16">
        <v>25839</v>
      </c>
      <c r="K29" s="16">
        <v>25764</v>
      </c>
      <c r="L29" s="16">
        <v>25836</v>
      </c>
      <c r="M29" s="16">
        <v>26215</v>
      </c>
      <c r="N29" s="16">
        <v>26658</v>
      </c>
      <c r="O29" s="16">
        <v>27018</v>
      </c>
      <c r="P29" s="16">
        <v>26974</v>
      </c>
      <c r="Q29" s="16">
        <v>26802</v>
      </c>
      <c r="R29" s="16">
        <v>26598</v>
      </c>
      <c r="S29" s="16">
        <v>27188</v>
      </c>
      <c r="T29" s="16">
        <v>27182</v>
      </c>
      <c r="U29" s="16">
        <v>26920</v>
      </c>
      <c r="V29" s="16">
        <v>26748</v>
      </c>
      <c r="W29" s="16">
        <v>26074</v>
      </c>
      <c r="X29" s="16">
        <v>25961</v>
      </c>
      <c r="Y29" s="16">
        <v>25965</v>
      </c>
      <c r="Z29" s="16">
        <v>26080</v>
      </c>
      <c r="AA29" s="16">
        <v>23680</v>
      </c>
      <c r="AB29" s="50">
        <f t="shared" si="0"/>
        <v>23136.690563531927</v>
      </c>
      <c r="AC29" s="50">
        <f t="shared" si="0"/>
        <v>22605.846715904871</v>
      </c>
      <c r="AD29" s="50">
        <f t="shared" si="0"/>
        <v>22087.182449008676</v>
      </c>
      <c r="AE29" s="50">
        <f t="shared" ref="AE29:BB29" si="9">AD29*$BE29</f>
        <v>21580.418316849118</v>
      </c>
      <c r="AF29" s="50">
        <f t="shared" si="9"/>
        <v>21085.281284987948</v>
      </c>
      <c r="AG29" s="50">
        <f t="shared" si="9"/>
        <v>20601.504583437374</v>
      </c>
      <c r="AH29" s="50">
        <f t="shared" si="9"/>
        <v>20128.827562929699</v>
      </c>
      <c r="AI29" s="50">
        <f t="shared" si="9"/>
        <v>19666.995554484667</v>
      </c>
      <c r="AJ29" s="50">
        <f t="shared" si="9"/>
        <v>19215.759732198894</v>
      </c>
      <c r="AK29" s="50">
        <f t="shared" si="9"/>
        <v>18774.876979183402</v>
      </c>
      <c r="AL29" s="50">
        <f t="shared" si="9"/>
        <v>18344.109756577091</v>
      </c>
      <c r="AM29" s="50">
        <f t="shared" si="9"/>
        <v>17923.225975565507</v>
      </c>
      <c r="AN29" s="50">
        <f t="shared" si="9"/>
        <v>17511.998872336015</v>
      </c>
      <c r="AO29" s="50">
        <f t="shared" si="9"/>
        <v>17110.20688590196</v>
      </c>
      <c r="AP29" s="50">
        <f t="shared" si="9"/>
        <v>16717.633538730021</v>
      </c>
      <c r="AQ29" s="50">
        <f t="shared" si="9"/>
        <v>16334.067320106409</v>
      </c>
      <c r="AR29" s="50">
        <f t="shared" si="9"/>
        <v>15959.301572179105</v>
      </c>
      <c r="AS29" s="50">
        <f t="shared" si="9"/>
        <v>15593.134378614721</v>
      </c>
      <c r="AT29" s="50">
        <f t="shared" si="9"/>
        <v>15235.368455809989</v>
      </c>
      <c r="AU29" s="50">
        <f t="shared" si="9"/>
        <v>14885.811046599281</v>
      </c>
      <c r="AV29" s="50">
        <f t="shared" si="9"/>
        <v>14544.273816400884</v>
      </c>
      <c r="AW29" s="50">
        <f t="shared" si="9"/>
        <v>14210.572751746067</v>
      </c>
      <c r="AX29" s="50">
        <f t="shared" si="9"/>
        <v>13884.528061136283</v>
      </c>
      <c r="AY29" s="50">
        <f t="shared" si="9"/>
        <v>13565.96407817509</v>
      </c>
      <c r="AZ29" s="50">
        <f t="shared" si="9"/>
        <v>13254.709166922581</v>
      </c>
      <c r="BA29" s="50">
        <f t="shared" si="9"/>
        <v>12950.595629421361</v>
      </c>
      <c r="BB29" s="50">
        <f t="shared" si="9"/>
        <v>12653.459615344216</v>
      </c>
      <c r="BC29" s="114" t="s">
        <v>30</v>
      </c>
      <c r="BD29" s="114"/>
      <c r="BE29" s="58">
        <f>AVERAGE(AA29/Z29, Z29/Y29, Y29/X29, X29/W29)</f>
        <v>0.9770561893383416</v>
      </c>
      <c r="BF29" s="123">
        <f>SUM(C29:BB32)</f>
        <v>2989966.9471266316</v>
      </c>
    </row>
    <row r="30" spans="1:58" ht="12.5" x14ac:dyDescent="0.25">
      <c r="A30" s="2">
        <v>19</v>
      </c>
      <c r="B30" s="2">
        <v>18337</v>
      </c>
      <c r="C30" s="16">
        <v>15272</v>
      </c>
      <c r="D30" s="16">
        <v>15351</v>
      </c>
      <c r="E30" s="16">
        <v>16388</v>
      </c>
      <c r="F30" s="16">
        <v>17777</v>
      </c>
      <c r="G30" s="16">
        <v>17811</v>
      </c>
      <c r="H30" s="16">
        <v>17969</v>
      </c>
      <c r="I30" s="16">
        <v>17850</v>
      </c>
      <c r="J30" s="16">
        <v>17986</v>
      </c>
      <c r="K30" s="16">
        <v>18513</v>
      </c>
      <c r="L30" s="16">
        <v>18810</v>
      </c>
      <c r="M30" s="16">
        <v>18712</v>
      </c>
      <c r="N30" s="16">
        <v>19092</v>
      </c>
      <c r="O30" s="16">
        <v>19352</v>
      </c>
      <c r="P30" s="16">
        <v>19293</v>
      </c>
      <c r="Q30" s="16">
        <v>19311</v>
      </c>
      <c r="R30" s="16">
        <v>19279</v>
      </c>
      <c r="S30" s="16">
        <v>19224</v>
      </c>
      <c r="T30" s="16">
        <v>19841</v>
      </c>
      <c r="U30" s="16">
        <v>19412</v>
      </c>
      <c r="V30" s="16">
        <v>19496</v>
      </c>
      <c r="W30" s="16">
        <v>19006</v>
      </c>
      <c r="X30" s="16">
        <v>18565</v>
      </c>
      <c r="Y30" s="16">
        <v>18497</v>
      </c>
      <c r="Z30" s="16">
        <v>18574</v>
      </c>
      <c r="AA30" s="16">
        <v>18273</v>
      </c>
      <c r="AB30" s="16">
        <v>16686</v>
      </c>
      <c r="AC30" s="50">
        <f t="shared" ref="AC30:BB30" si="10">AB30*$BE30</f>
        <v>16258.192369707427</v>
      </c>
      <c r="AD30" s="50">
        <f t="shared" si="10"/>
        <v>15841.353178138128</v>
      </c>
      <c r="AE30" s="50">
        <f t="shared" si="10"/>
        <v>15435.201208596776</v>
      </c>
      <c r="AF30" s="50">
        <f t="shared" si="10"/>
        <v>15039.462454423288</v>
      </c>
      <c r="AG30" s="50">
        <f t="shared" si="10"/>
        <v>14653.869934136765</v>
      </c>
      <c r="AH30" s="50">
        <f t="shared" si="10"/>
        <v>14278.163511318917</v>
      </c>
      <c r="AI30" s="50">
        <f t="shared" si="10"/>
        <v>13912.08971911544</v>
      </c>
      <c r="AJ30" s="50">
        <f t="shared" si="10"/>
        <v>13555.401589236953</v>
      </c>
      <c r="AK30" s="50">
        <f t="shared" si="10"/>
        <v>13207.858485344132</v>
      </c>
      <c r="AL30" s="50">
        <f t="shared" si="10"/>
        <v>12869.225940704631</v>
      </c>
      <c r="AM30" s="50">
        <f t="shared" si="10"/>
        <v>12539.275500012282</v>
      </c>
      <c r="AN30" s="50">
        <f t="shared" si="10"/>
        <v>12217.784565261834</v>
      </c>
      <c r="AO30" s="50">
        <f t="shared" si="10"/>
        <v>11904.53624557528</v>
      </c>
      <c r="AP30" s="50">
        <f t="shared" si="10"/>
        <v>11599.319210878433</v>
      </c>
      <c r="AQ30" s="50">
        <f t="shared" si="10"/>
        <v>11301.92754932905</v>
      </c>
      <c r="AR30" s="50">
        <f t="shared" si="10"/>
        <v>11012.160628400319</v>
      </c>
      <c r="AS30" s="50">
        <f t="shared" si="10"/>
        <v>10729.822959525987</v>
      </c>
      <c r="AT30" s="50">
        <f t="shared" si="10"/>
        <v>10454.724066215807</v>
      </c>
      <c r="AU30" s="50">
        <f t="shared" si="10"/>
        <v>10186.678355552347</v>
      </c>
      <c r="AV30" s="50">
        <f t="shared" si="10"/>
        <v>9925.5049929824381</v>
      </c>
      <c r="AW30" s="50">
        <f t="shared" si="10"/>
        <v>9671.0277803188328</v>
      </c>
      <c r="AX30" s="50">
        <f t="shared" si="10"/>
        <v>9423.0750368697245</v>
      </c>
      <c r="AY30" s="50">
        <f t="shared" si="10"/>
        <v>9181.4794836159599</v>
      </c>
      <c r="AZ30" s="50">
        <f t="shared" si="10"/>
        <v>8946.0781303578024</v>
      </c>
      <c r="BA30" s="50">
        <f t="shared" si="10"/>
        <v>8716.712165755107</v>
      </c>
      <c r="BB30" s="50">
        <f t="shared" si="10"/>
        <v>8493.2268501867184</v>
      </c>
      <c r="BC30" s="114"/>
      <c r="BD30" s="114"/>
      <c r="BE30" s="58">
        <f>AVERAGE(AB30/AA30, AA30/Z30, Z30/Y30, Y30/X30)</f>
        <v>0.97436128309405656</v>
      </c>
      <c r="BF30" s="122"/>
    </row>
    <row r="31" spans="1:58" ht="12.5" x14ac:dyDescent="0.25">
      <c r="A31" s="2">
        <v>18</v>
      </c>
      <c r="B31" s="2">
        <v>14603</v>
      </c>
      <c r="C31" s="16">
        <v>11581</v>
      </c>
      <c r="D31" s="16">
        <v>11601</v>
      </c>
      <c r="E31" s="16">
        <v>11814</v>
      </c>
      <c r="F31" s="16">
        <v>12585</v>
      </c>
      <c r="G31" s="16">
        <v>12515</v>
      </c>
      <c r="H31" s="16">
        <v>12663</v>
      </c>
      <c r="I31" s="16">
        <v>12756</v>
      </c>
      <c r="J31" s="16">
        <v>12484</v>
      </c>
      <c r="K31" s="16">
        <v>12565</v>
      </c>
      <c r="L31" s="16">
        <v>13105</v>
      </c>
      <c r="M31" s="16">
        <v>13137</v>
      </c>
      <c r="N31" s="16">
        <v>13152</v>
      </c>
      <c r="O31" s="16">
        <v>13221</v>
      </c>
      <c r="P31" s="16">
        <v>13232</v>
      </c>
      <c r="Q31" s="16">
        <v>13454</v>
      </c>
      <c r="R31" s="16">
        <v>13673</v>
      </c>
      <c r="S31" s="16">
        <v>13291</v>
      </c>
      <c r="T31" s="16">
        <v>13343</v>
      </c>
      <c r="U31" s="16">
        <v>13701</v>
      </c>
      <c r="V31" s="16">
        <v>13568</v>
      </c>
      <c r="W31" s="16">
        <v>13442</v>
      </c>
      <c r="X31" s="16">
        <v>13300</v>
      </c>
      <c r="Y31" s="16">
        <v>12901</v>
      </c>
      <c r="Z31" s="16">
        <v>12874</v>
      </c>
      <c r="AA31" s="16">
        <v>12848</v>
      </c>
      <c r="AB31" s="16">
        <v>12822</v>
      </c>
      <c r="AC31" s="16">
        <v>11553</v>
      </c>
      <c r="AD31" s="50">
        <f t="shared" ref="AD31:BB31" si="11">AC31*$BE31</f>
        <v>11249.425816209819</v>
      </c>
      <c r="AE31" s="50">
        <f t="shared" si="11"/>
        <v>10953.828546213794</v>
      </c>
      <c r="AF31" s="50">
        <f t="shared" si="11"/>
        <v>10665.998583408078</v>
      </c>
      <c r="AG31" s="50">
        <f t="shared" si="11"/>
        <v>10385.731828949034</v>
      </c>
      <c r="AH31" s="50">
        <f t="shared" si="11"/>
        <v>10112.829547027723</v>
      </c>
      <c r="AI31" s="50">
        <f t="shared" si="11"/>
        <v>9847.098223947296</v>
      </c>
      <c r="AJ31" s="50">
        <f t="shared" si="11"/>
        <v>9588.3494309033649</v>
      </c>
      <c r="AK31" s="50">
        <f t="shared" si="11"/>
        <v>9336.3996903700372</v>
      </c>
      <c r="AL31" s="50">
        <f t="shared" si="11"/>
        <v>9091.0703459968881</v>
      </c>
      <c r="AM31" s="50">
        <f t="shared" si="11"/>
        <v>8852.1874359246012</v>
      </c>
      <c r="AN31" s="50">
        <f t="shared" si="11"/>
        <v>8619.5815694294488</v>
      </c>
      <c r="AO31" s="50">
        <f t="shared" si="11"/>
        <v>8393.0878068091406</v>
      </c>
      <c r="AP31" s="50">
        <f t="shared" si="11"/>
        <v>8172.5455424248767</v>
      </c>
      <c r="AQ31" s="50">
        <f t="shared" si="11"/>
        <v>7957.7983908166616</v>
      </c>
      <c r="AR31" s="50">
        <f t="shared" si="11"/>
        <v>7748.6940758111232</v>
      </c>
      <c r="AS31" s="50">
        <f t="shared" si="11"/>
        <v>7545.0843225432127</v>
      </c>
      <c r="AT31" s="50">
        <f t="shared" si="11"/>
        <v>7346.8247523152077</v>
      </c>
      <c r="AU31" s="50">
        <f t="shared" si="11"/>
        <v>7153.7747802184722</v>
      </c>
      <c r="AV31" s="50">
        <f t="shared" si="11"/>
        <v>6965.7975154453743</v>
      </c>
      <c r="AW31" s="50">
        <f t="shared" si="11"/>
        <v>6782.7596642206709</v>
      </c>
      <c r="AX31" s="50">
        <f t="shared" si="11"/>
        <v>6604.531435283533</v>
      </c>
      <c r="AY31" s="50">
        <f t="shared" si="11"/>
        <v>6430.9864478531872</v>
      </c>
      <c r="AZ31" s="50">
        <f t="shared" si="11"/>
        <v>6262.0016420129077</v>
      </c>
      <c r="BA31" s="50">
        <f t="shared" si="11"/>
        <v>6097.4571914488261</v>
      </c>
      <c r="BB31" s="50">
        <f t="shared" si="11"/>
        <v>5937.2364184816624</v>
      </c>
      <c r="BC31" s="114"/>
      <c r="BD31" s="114"/>
      <c r="BE31" s="58">
        <f>AVERAGE(AC31/AB31, AB31/AA31, AA31/Z31, Z31/Y31)</f>
        <v>0.97372334598890498</v>
      </c>
      <c r="BF31" s="122"/>
    </row>
    <row r="32" spans="1:58" ht="12.5" x14ac:dyDescent="0.25">
      <c r="A32" s="2">
        <v>17</v>
      </c>
      <c r="B32" s="2">
        <v>14565</v>
      </c>
      <c r="C32" s="16">
        <v>11745</v>
      </c>
      <c r="D32" s="16">
        <v>11525</v>
      </c>
      <c r="E32" s="16">
        <v>11933</v>
      </c>
      <c r="F32" s="16">
        <v>12284</v>
      </c>
      <c r="G32" s="16">
        <v>12351</v>
      </c>
      <c r="H32" s="16">
        <v>12607</v>
      </c>
      <c r="I32" s="16">
        <v>12981</v>
      </c>
      <c r="J32" s="16">
        <v>12886</v>
      </c>
      <c r="K32" s="16">
        <v>12545</v>
      </c>
      <c r="L32" s="16">
        <v>12608</v>
      </c>
      <c r="M32" s="16">
        <v>13070</v>
      </c>
      <c r="N32" s="16">
        <v>13009</v>
      </c>
      <c r="O32" s="16">
        <v>13126</v>
      </c>
      <c r="P32" s="16">
        <v>13196</v>
      </c>
      <c r="Q32" s="16">
        <v>13340</v>
      </c>
      <c r="R32" s="16">
        <v>13629</v>
      </c>
      <c r="S32" s="16">
        <v>13370</v>
      </c>
      <c r="T32" s="16">
        <v>13151</v>
      </c>
      <c r="U32" s="16">
        <v>13375</v>
      </c>
      <c r="V32" s="16">
        <v>13523</v>
      </c>
      <c r="W32" s="16">
        <v>13442</v>
      </c>
      <c r="X32" s="16">
        <v>13146</v>
      </c>
      <c r="Y32" s="16">
        <v>13052</v>
      </c>
      <c r="Z32" s="16">
        <v>12931</v>
      </c>
      <c r="AA32" s="16">
        <v>12918</v>
      </c>
      <c r="AB32" s="16">
        <v>12747</v>
      </c>
      <c r="AC32" s="16">
        <v>12675</v>
      </c>
      <c r="AD32" s="16">
        <v>11194</v>
      </c>
      <c r="AE32" s="50">
        <f>AD32*$BE32</f>
        <v>10811.346406871959</v>
      </c>
      <c r="AF32" s="50">
        <f t="shared" ref="AF32:BB32" si="12">AE32*$BE32</f>
        <v>10441.773372287225</v>
      </c>
      <c r="AG32" s="50">
        <f t="shared" si="12"/>
        <v>10084.833752889832</v>
      </c>
      <c r="AH32" s="50">
        <f t="shared" si="12"/>
        <v>9740.0956903882907</v>
      </c>
      <c r="AI32" s="50">
        <f t="shared" si="12"/>
        <v>9407.1420890538229</v>
      </c>
      <c r="AJ32" s="50">
        <f t="shared" si="12"/>
        <v>9085.5701110796872</v>
      </c>
      <c r="AK32" s="50">
        <f t="shared" si="12"/>
        <v>8774.9906891910523</v>
      </c>
      <c r="AL32" s="50">
        <f t="shared" si="12"/>
        <v>8475.02805591572</v>
      </c>
      <c r="AM32" s="50">
        <f t="shared" si="12"/>
        <v>8185.3192889461725</v>
      </c>
      <c r="AN32" s="50">
        <f t="shared" si="12"/>
        <v>7905.513872042874</v>
      </c>
      <c r="AO32" s="50">
        <f t="shared" si="12"/>
        <v>7635.2732709475749</v>
      </c>
      <c r="AP32" s="50">
        <f t="shared" si="12"/>
        <v>7374.2705237935115</v>
      </c>
      <c r="AQ32" s="50">
        <f t="shared" si="12"/>
        <v>7122.189845516953</v>
      </c>
      <c r="AR32" s="50">
        <f t="shared" si="12"/>
        <v>6878.7262457914649</v>
      </c>
      <c r="AS32" s="50">
        <f t="shared" si="12"/>
        <v>6643.585160022636</v>
      </c>
      <c r="AT32" s="50">
        <f t="shared" si="12"/>
        <v>6416.482092956815</v>
      </c>
      <c r="AU32" s="50">
        <f t="shared" si="12"/>
        <v>6197.1422744726569</v>
      </c>
      <c r="AV32" s="50">
        <f t="shared" si="12"/>
        <v>5985.300327139028</v>
      </c>
      <c r="AW32" s="50">
        <f t="shared" si="12"/>
        <v>5780.6999451370457</v>
      </c>
      <c r="AX32" s="50">
        <f t="shared" si="12"/>
        <v>5583.0935841577921</v>
      </c>
      <c r="AY32" s="50">
        <f t="shared" si="12"/>
        <v>5392.2421619005027</v>
      </c>
      <c r="AZ32" s="50">
        <f t="shared" si="12"/>
        <v>5207.9147688088688</v>
      </c>
      <c r="BA32" s="50">
        <f t="shared" si="12"/>
        <v>5029.8883886954773</v>
      </c>
      <c r="BB32" s="50">
        <f t="shared" si="12"/>
        <v>4857.9476289163686</v>
      </c>
      <c r="BC32" s="114"/>
      <c r="BD32" s="114"/>
      <c r="BE32" s="58">
        <f>AVERAGE(AD32/AC32, AC32/AB32, AB32/AA32, AA32/Z32)</f>
        <v>0.96581618785706258</v>
      </c>
      <c r="BF32" s="122"/>
    </row>
    <row r="33" spans="1:53" ht="12.5" x14ac:dyDescent="0.25">
      <c r="A33" s="2">
        <v>16</v>
      </c>
      <c r="B33" s="2">
        <v>14336</v>
      </c>
      <c r="C33" s="16">
        <v>11729</v>
      </c>
      <c r="D33" s="16">
        <v>11501</v>
      </c>
      <c r="E33" s="16">
        <v>11943</v>
      </c>
      <c r="F33" s="16">
        <v>12643</v>
      </c>
      <c r="G33" s="16">
        <v>12368</v>
      </c>
      <c r="H33" s="16">
        <v>12537</v>
      </c>
      <c r="I33" s="16">
        <v>12844</v>
      </c>
      <c r="J33" s="16">
        <v>13203</v>
      </c>
      <c r="K33" s="16">
        <v>13175</v>
      </c>
      <c r="L33" s="16">
        <v>12849</v>
      </c>
      <c r="M33" s="16">
        <v>12803</v>
      </c>
      <c r="N33" s="16">
        <v>13094</v>
      </c>
      <c r="O33" s="16">
        <v>13395</v>
      </c>
      <c r="P33" s="16">
        <v>13469</v>
      </c>
      <c r="Q33" s="16">
        <v>13463</v>
      </c>
      <c r="R33" s="16">
        <v>13558</v>
      </c>
      <c r="S33" s="16">
        <v>13857</v>
      </c>
      <c r="T33" s="16">
        <v>13660</v>
      </c>
      <c r="U33" s="16">
        <v>13230</v>
      </c>
      <c r="V33" s="16">
        <v>13148</v>
      </c>
      <c r="W33" s="16">
        <v>13518</v>
      </c>
      <c r="X33" s="16">
        <v>13549</v>
      </c>
      <c r="Y33" s="16">
        <v>13296</v>
      </c>
      <c r="Z33" s="16">
        <v>13023</v>
      </c>
      <c r="AA33" s="16">
        <v>12482</v>
      </c>
      <c r="AB33" s="16">
        <v>12559</v>
      </c>
      <c r="AC33" s="16">
        <v>12583</v>
      </c>
      <c r="AD33" s="16">
        <v>12556</v>
      </c>
      <c r="AE33" s="16">
        <v>11139</v>
      </c>
      <c r="AF33" s="14"/>
      <c r="AG33" s="14"/>
      <c r="AH33" s="14"/>
      <c r="AI33" s="14"/>
      <c r="AJ33" s="14"/>
      <c r="AK33" s="14"/>
      <c r="AL33" s="14"/>
      <c r="AM33" s="14"/>
      <c r="AN33" s="14"/>
      <c r="AO33" s="14"/>
      <c r="AP33" s="14"/>
      <c r="AQ33" s="14"/>
      <c r="AR33" s="14"/>
      <c r="AS33" s="14"/>
      <c r="AT33" s="14"/>
      <c r="AU33" s="5"/>
      <c r="AV33" s="5"/>
      <c r="AW33" s="5"/>
      <c r="AX33" s="5"/>
      <c r="AY33" s="5"/>
      <c r="AZ33" s="5"/>
      <c r="BA33" s="5"/>
    </row>
    <row r="34" spans="1:53" ht="12.5" x14ac:dyDescent="0.25">
      <c r="A34" s="2">
        <v>15</v>
      </c>
      <c r="B34" s="2">
        <v>27968</v>
      </c>
      <c r="C34" s="16">
        <v>19229</v>
      </c>
      <c r="D34" s="16">
        <v>24916</v>
      </c>
      <c r="E34" s="16">
        <v>33240</v>
      </c>
      <c r="F34" s="16">
        <v>39507</v>
      </c>
      <c r="G34" s="16">
        <v>39449</v>
      </c>
      <c r="H34" s="16">
        <v>39067</v>
      </c>
      <c r="I34" s="16">
        <v>39288</v>
      </c>
      <c r="J34" s="16">
        <v>40115</v>
      </c>
      <c r="K34" s="16">
        <v>40636</v>
      </c>
      <c r="L34" s="16">
        <v>40844</v>
      </c>
      <c r="M34" s="16">
        <v>40773</v>
      </c>
      <c r="N34" s="16">
        <v>41091</v>
      </c>
      <c r="O34" s="16">
        <v>41364</v>
      </c>
      <c r="P34" s="16">
        <v>41227</v>
      </c>
      <c r="Q34" s="16">
        <v>40659</v>
      </c>
      <c r="R34" s="16">
        <v>40981</v>
      </c>
      <c r="S34" s="16">
        <v>41499</v>
      </c>
      <c r="T34" s="16">
        <v>42180</v>
      </c>
      <c r="U34" s="16">
        <v>41534</v>
      </c>
      <c r="V34" s="16">
        <v>41131</v>
      </c>
      <c r="W34" s="16">
        <v>40778</v>
      </c>
      <c r="X34" s="16">
        <v>41286</v>
      </c>
      <c r="Y34" s="16">
        <v>41252</v>
      </c>
      <c r="Z34" s="16">
        <v>40838</v>
      </c>
      <c r="AA34" s="16">
        <v>40173</v>
      </c>
      <c r="AB34" s="16">
        <v>39367</v>
      </c>
      <c r="AC34" s="16">
        <v>39342</v>
      </c>
      <c r="AD34" s="16">
        <v>39291</v>
      </c>
      <c r="AE34" s="16">
        <v>39214</v>
      </c>
      <c r="AF34" s="16">
        <v>37341</v>
      </c>
      <c r="AG34" s="14"/>
      <c r="AH34" s="14"/>
      <c r="AI34" s="14"/>
      <c r="AJ34" s="14"/>
      <c r="AK34" s="14"/>
      <c r="AL34" s="14"/>
      <c r="AM34" s="14"/>
      <c r="AN34" s="14"/>
      <c r="AO34" s="14"/>
      <c r="AP34" s="14"/>
      <c r="AQ34" s="14"/>
      <c r="AR34" s="14"/>
      <c r="AS34" s="14"/>
      <c r="AT34" s="14"/>
      <c r="AU34" s="5"/>
      <c r="AV34" s="5"/>
      <c r="AW34" s="5"/>
      <c r="AX34" s="5"/>
      <c r="AY34" s="5"/>
      <c r="AZ34" s="5"/>
      <c r="BA34" s="5"/>
    </row>
    <row r="35" spans="1:53" ht="12.5" x14ac:dyDescent="0.25">
      <c r="A35" s="2">
        <v>14</v>
      </c>
      <c r="B35" s="2">
        <v>14311</v>
      </c>
      <c r="C35" s="16">
        <v>13311</v>
      </c>
      <c r="D35" s="16">
        <v>13217</v>
      </c>
      <c r="E35" s="16">
        <v>13745</v>
      </c>
      <c r="F35" s="16">
        <v>14554</v>
      </c>
      <c r="G35" s="16">
        <v>14736</v>
      </c>
      <c r="H35" s="16">
        <v>15062</v>
      </c>
      <c r="I35" s="16">
        <v>15127</v>
      </c>
      <c r="J35" s="16">
        <v>15393</v>
      </c>
      <c r="K35" s="16">
        <v>15766</v>
      </c>
      <c r="L35" s="16">
        <v>16005</v>
      </c>
      <c r="M35" s="16">
        <v>16165</v>
      </c>
      <c r="N35" s="16">
        <v>15877</v>
      </c>
      <c r="O35" s="16">
        <v>16088</v>
      </c>
      <c r="P35" s="16">
        <v>16055</v>
      </c>
      <c r="Q35" s="16">
        <v>16092</v>
      </c>
      <c r="R35" s="16">
        <v>16247</v>
      </c>
      <c r="S35" s="16">
        <v>16380</v>
      </c>
      <c r="T35" s="16">
        <v>16582</v>
      </c>
      <c r="U35" s="16">
        <v>16794</v>
      </c>
      <c r="V35" s="16">
        <v>16894</v>
      </c>
      <c r="W35" s="16">
        <v>16447</v>
      </c>
      <c r="X35" s="16">
        <v>16078</v>
      </c>
      <c r="Y35" s="16">
        <v>16632</v>
      </c>
      <c r="Z35" s="16">
        <v>16360</v>
      </c>
      <c r="AA35" s="16">
        <v>16640</v>
      </c>
      <c r="AB35" s="16">
        <v>16137</v>
      </c>
      <c r="AC35" s="16">
        <v>15953</v>
      </c>
      <c r="AD35" s="16">
        <v>15761</v>
      </c>
      <c r="AE35" s="16">
        <v>15791</v>
      </c>
      <c r="AF35" s="16">
        <v>15779</v>
      </c>
      <c r="AG35" s="16">
        <v>14510</v>
      </c>
      <c r="AH35" s="14"/>
      <c r="AI35" s="14"/>
      <c r="AJ35" s="14"/>
      <c r="AK35" s="14"/>
      <c r="AL35" s="14"/>
      <c r="AM35" s="14"/>
      <c r="AN35" s="14"/>
      <c r="AO35" s="14"/>
      <c r="AP35" s="14"/>
      <c r="AQ35" s="14"/>
      <c r="AR35" s="14"/>
      <c r="AS35" s="14"/>
      <c r="AT35" s="14"/>
      <c r="AU35" s="5"/>
      <c r="AV35" s="5"/>
      <c r="AW35" s="5"/>
      <c r="AX35" s="5"/>
      <c r="AY35" s="5"/>
      <c r="AZ35" s="5"/>
      <c r="BA35" s="5"/>
    </row>
    <row r="36" spans="1:53" ht="12.5" x14ac:dyDescent="0.25">
      <c r="A36" s="2">
        <v>13</v>
      </c>
      <c r="B36" s="2">
        <v>11567</v>
      </c>
      <c r="C36" s="16">
        <v>10284</v>
      </c>
      <c r="D36" s="16">
        <v>10173</v>
      </c>
      <c r="E36" s="16">
        <v>10269</v>
      </c>
      <c r="F36" s="16">
        <v>10753</v>
      </c>
      <c r="G36" s="16">
        <v>10737</v>
      </c>
      <c r="H36" s="16">
        <v>11183</v>
      </c>
      <c r="I36" s="16">
        <v>11327</v>
      </c>
      <c r="J36" s="16">
        <v>11370</v>
      </c>
      <c r="K36" s="16">
        <v>11527</v>
      </c>
      <c r="L36" s="16">
        <v>11843</v>
      </c>
      <c r="M36" s="16">
        <v>11915</v>
      </c>
      <c r="N36" s="16">
        <v>11977</v>
      </c>
      <c r="O36" s="16">
        <v>11729</v>
      </c>
      <c r="P36" s="16">
        <v>11906</v>
      </c>
      <c r="Q36" s="16">
        <v>11944</v>
      </c>
      <c r="R36" s="16">
        <v>12049</v>
      </c>
      <c r="S36" s="16">
        <v>11881</v>
      </c>
      <c r="T36" s="16">
        <v>11971</v>
      </c>
      <c r="U36" s="16">
        <v>12044</v>
      </c>
      <c r="V36" s="16">
        <v>12374</v>
      </c>
      <c r="W36" s="16">
        <v>12333</v>
      </c>
      <c r="X36" s="16">
        <v>12286</v>
      </c>
      <c r="Y36" s="16">
        <v>12151</v>
      </c>
      <c r="Z36" s="16">
        <v>12467</v>
      </c>
      <c r="AA36" s="16">
        <v>12246</v>
      </c>
      <c r="AB36" s="16">
        <v>12041</v>
      </c>
      <c r="AC36" s="16">
        <v>11830</v>
      </c>
      <c r="AD36" s="16">
        <v>11750</v>
      </c>
      <c r="AE36" s="16">
        <v>11576</v>
      </c>
      <c r="AF36" s="16">
        <v>11460</v>
      </c>
      <c r="AG36" s="16">
        <v>11520</v>
      </c>
      <c r="AH36" s="16">
        <v>10201</v>
      </c>
      <c r="AI36" s="14"/>
      <c r="AJ36" s="14"/>
      <c r="AK36" s="14"/>
      <c r="AL36" s="14"/>
      <c r="AM36" s="14"/>
      <c r="AN36" s="14"/>
      <c r="AO36" s="14"/>
      <c r="AP36" s="14"/>
      <c r="AQ36" s="14"/>
      <c r="AR36" s="14"/>
      <c r="AS36" s="14"/>
      <c r="AT36" s="14"/>
      <c r="AU36" s="5"/>
      <c r="AV36" s="5"/>
      <c r="AW36" s="5"/>
      <c r="AX36" s="5"/>
      <c r="AY36" s="5"/>
      <c r="AZ36" s="5"/>
      <c r="BA36" s="5"/>
    </row>
    <row r="37" spans="1:53" ht="12.5" x14ac:dyDescent="0.25">
      <c r="A37" s="2">
        <v>12</v>
      </c>
      <c r="B37" s="2">
        <v>14362</v>
      </c>
      <c r="C37" s="16">
        <v>10214</v>
      </c>
      <c r="D37" s="16">
        <v>11095</v>
      </c>
      <c r="E37" s="16">
        <v>11400</v>
      </c>
      <c r="F37" s="16">
        <v>11763</v>
      </c>
      <c r="G37" s="16">
        <v>11859</v>
      </c>
      <c r="H37" s="16">
        <v>12370</v>
      </c>
      <c r="I37" s="16">
        <v>13023</v>
      </c>
      <c r="J37" s="16">
        <v>13101</v>
      </c>
      <c r="K37" s="16">
        <v>13233</v>
      </c>
      <c r="L37" s="16">
        <v>13457</v>
      </c>
      <c r="M37" s="16">
        <v>13870</v>
      </c>
      <c r="N37" s="16">
        <v>14090</v>
      </c>
      <c r="O37" s="16">
        <v>14176</v>
      </c>
      <c r="P37" s="16">
        <v>14118</v>
      </c>
      <c r="Q37" s="16">
        <v>14122</v>
      </c>
      <c r="R37" s="16">
        <v>14276</v>
      </c>
      <c r="S37" s="16">
        <v>14259</v>
      </c>
      <c r="T37" s="16">
        <v>14494</v>
      </c>
      <c r="U37" s="16">
        <v>14540</v>
      </c>
      <c r="V37" s="16">
        <v>14694</v>
      </c>
      <c r="W37" s="16">
        <v>14859</v>
      </c>
      <c r="X37" s="16">
        <v>14854</v>
      </c>
      <c r="Y37" s="16">
        <v>14690</v>
      </c>
      <c r="Z37" s="16">
        <v>14610</v>
      </c>
      <c r="AA37" s="16">
        <v>15053</v>
      </c>
      <c r="AB37" s="16">
        <v>14708</v>
      </c>
      <c r="AC37" s="16">
        <v>14651</v>
      </c>
      <c r="AD37" s="16">
        <v>14762</v>
      </c>
      <c r="AE37" s="16">
        <v>14233</v>
      </c>
      <c r="AF37" s="16">
        <v>14230</v>
      </c>
      <c r="AG37" s="16">
        <v>13984</v>
      </c>
      <c r="AH37" s="16">
        <v>14062</v>
      </c>
      <c r="AI37" s="16">
        <v>12610</v>
      </c>
      <c r="AJ37" s="14"/>
      <c r="AK37" s="14"/>
      <c r="AL37" s="14"/>
      <c r="AM37" s="14"/>
      <c r="AN37" s="14"/>
      <c r="AO37" s="14"/>
      <c r="AP37" s="14"/>
      <c r="AQ37" s="14"/>
      <c r="AR37" s="14"/>
      <c r="AS37" s="14"/>
      <c r="AT37" s="14"/>
      <c r="AU37" s="5"/>
      <c r="AV37" s="5"/>
      <c r="AW37" s="5"/>
      <c r="AX37" s="5"/>
      <c r="AY37" s="5"/>
      <c r="AZ37" s="5"/>
      <c r="BA37" s="5"/>
    </row>
    <row r="38" spans="1:53" ht="12.5" x14ac:dyDescent="0.25">
      <c r="A38" s="2">
        <v>11</v>
      </c>
      <c r="B38" s="2">
        <v>18709</v>
      </c>
      <c r="C38" s="16">
        <v>12171</v>
      </c>
      <c r="D38" s="16">
        <v>11122</v>
      </c>
      <c r="E38" s="16">
        <v>12551</v>
      </c>
      <c r="F38" s="16">
        <v>13267</v>
      </c>
      <c r="G38" s="16">
        <v>13444</v>
      </c>
      <c r="H38" s="16">
        <v>13979</v>
      </c>
      <c r="I38" s="16">
        <v>14566</v>
      </c>
      <c r="J38" s="16">
        <v>15341</v>
      </c>
      <c r="K38" s="16">
        <v>15790</v>
      </c>
      <c r="L38" s="16">
        <v>15780</v>
      </c>
      <c r="M38" s="16">
        <v>16122</v>
      </c>
      <c r="N38" s="16">
        <v>16441</v>
      </c>
      <c r="O38" s="16">
        <v>17031</v>
      </c>
      <c r="P38" s="16">
        <v>17017</v>
      </c>
      <c r="Q38" s="16">
        <v>17089</v>
      </c>
      <c r="R38" s="16">
        <v>17203</v>
      </c>
      <c r="S38" s="16">
        <v>17192</v>
      </c>
      <c r="T38" s="16">
        <v>17156</v>
      </c>
      <c r="U38" s="16">
        <v>17511</v>
      </c>
      <c r="V38" s="16">
        <v>17641</v>
      </c>
      <c r="W38" s="16">
        <v>17801</v>
      </c>
      <c r="X38" s="16">
        <v>18054</v>
      </c>
      <c r="Y38" s="16">
        <v>18382</v>
      </c>
      <c r="Z38" s="16">
        <v>17990</v>
      </c>
      <c r="AA38" s="16">
        <v>17996</v>
      </c>
      <c r="AB38" s="16">
        <v>18562</v>
      </c>
      <c r="AC38" s="16">
        <v>18289</v>
      </c>
      <c r="AD38" s="16">
        <v>18072</v>
      </c>
      <c r="AE38" s="16">
        <v>17597</v>
      </c>
      <c r="AF38" s="16">
        <v>17318</v>
      </c>
      <c r="AG38" s="16">
        <v>17004</v>
      </c>
      <c r="AH38" s="16">
        <v>16838</v>
      </c>
      <c r="AI38" s="16">
        <v>16747</v>
      </c>
      <c r="AJ38" s="16">
        <v>15123</v>
      </c>
      <c r="AK38" s="14"/>
      <c r="AL38" s="14"/>
      <c r="AM38" s="14"/>
      <c r="AN38" s="14"/>
      <c r="AO38" s="14"/>
      <c r="AP38" s="14"/>
      <c r="AQ38" s="14"/>
      <c r="AR38" s="14"/>
      <c r="AS38" s="14"/>
      <c r="AT38" s="14"/>
      <c r="AU38" s="5"/>
      <c r="AV38" s="5"/>
      <c r="AW38" s="5"/>
      <c r="AX38" s="5"/>
      <c r="AY38" s="5"/>
      <c r="AZ38" s="5"/>
      <c r="BA38" s="5"/>
    </row>
    <row r="39" spans="1:53" ht="12.5" x14ac:dyDescent="0.25">
      <c r="A39" s="2">
        <v>10</v>
      </c>
      <c r="B39" s="2">
        <v>21946</v>
      </c>
      <c r="C39" s="16">
        <v>18509</v>
      </c>
      <c r="D39" s="16">
        <v>18547</v>
      </c>
      <c r="E39" s="16">
        <v>18022</v>
      </c>
      <c r="F39" s="16">
        <v>19196</v>
      </c>
      <c r="G39" s="16">
        <v>19199</v>
      </c>
      <c r="H39" s="16">
        <v>19765</v>
      </c>
      <c r="I39" s="16">
        <v>20217</v>
      </c>
      <c r="J39" s="16">
        <v>20713</v>
      </c>
      <c r="K39" s="16">
        <v>21592</v>
      </c>
      <c r="L39" s="16">
        <v>21771</v>
      </c>
      <c r="M39" s="16">
        <v>21848</v>
      </c>
      <c r="N39" s="16">
        <v>22062</v>
      </c>
      <c r="O39" s="16">
        <v>22619</v>
      </c>
      <c r="P39" s="16">
        <v>22803</v>
      </c>
      <c r="Q39" s="16">
        <v>23088</v>
      </c>
      <c r="R39" s="16">
        <v>23006</v>
      </c>
      <c r="S39" s="16">
        <v>22618</v>
      </c>
      <c r="T39" s="16">
        <v>22920</v>
      </c>
      <c r="U39" s="16">
        <v>23313</v>
      </c>
      <c r="V39" s="16">
        <v>23305</v>
      </c>
      <c r="W39" s="16">
        <v>23528</v>
      </c>
      <c r="X39" s="16">
        <v>23889</v>
      </c>
      <c r="Y39" s="16">
        <v>24254</v>
      </c>
      <c r="Z39" s="16">
        <v>24242</v>
      </c>
      <c r="AA39" s="16">
        <v>23773</v>
      </c>
      <c r="AB39" s="16">
        <v>23594</v>
      </c>
      <c r="AC39" s="16">
        <v>23880</v>
      </c>
      <c r="AD39" s="16">
        <v>24047</v>
      </c>
      <c r="AE39" s="16">
        <v>23624</v>
      </c>
      <c r="AF39" s="16">
        <v>23468</v>
      </c>
      <c r="AG39" s="16">
        <v>22588</v>
      </c>
      <c r="AH39" s="16">
        <v>22447</v>
      </c>
      <c r="AI39" s="16">
        <v>22150</v>
      </c>
      <c r="AJ39" s="16">
        <v>22383</v>
      </c>
      <c r="AK39" s="16">
        <v>19236</v>
      </c>
      <c r="AL39" s="14"/>
      <c r="AM39" s="14"/>
      <c r="AN39" s="14"/>
      <c r="AO39" s="14"/>
      <c r="AP39" s="14"/>
      <c r="AQ39" s="14"/>
      <c r="AR39" s="14"/>
      <c r="AS39" s="14"/>
      <c r="AT39" s="14"/>
      <c r="AU39" s="5"/>
      <c r="AV39" s="5"/>
      <c r="AW39" s="5"/>
      <c r="AX39" s="5"/>
      <c r="AY39" s="5"/>
      <c r="AZ39" s="5"/>
      <c r="BA39" s="5"/>
    </row>
    <row r="40" spans="1:53" ht="12.5" x14ac:dyDescent="0.25">
      <c r="A40" s="2">
        <v>9</v>
      </c>
      <c r="B40" s="2">
        <v>13502</v>
      </c>
      <c r="C40" s="16">
        <v>13377</v>
      </c>
      <c r="D40" s="16">
        <v>12784</v>
      </c>
      <c r="E40" s="16">
        <v>13084</v>
      </c>
      <c r="F40" s="16">
        <v>13110</v>
      </c>
      <c r="G40" s="16">
        <v>13172</v>
      </c>
      <c r="H40" s="16">
        <v>13548</v>
      </c>
      <c r="I40" s="16">
        <v>13704</v>
      </c>
      <c r="J40" s="16">
        <v>13892</v>
      </c>
      <c r="K40" s="16">
        <v>14094</v>
      </c>
      <c r="L40" s="16">
        <v>14838</v>
      </c>
      <c r="M40" s="16">
        <v>14752</v>
      </c>
      <c r="N40" s="16">
        <v>14610</v>
      </c>
      <c r="O40" s="16">
        <v>15108</v>
      </c>
      <c r="P40" s="16">
        <v>15080</v>
      </c>
      <c r="Q40" s="16">
        <v>15395</v>
      </c>
      <c r="R40" s="16">
        <v>15313</v>
      </c>
      <c r="S40" s="16">
        <v>15246</v>
      </c>
      <c r="T40" s="16">
        <v>15165</v>
      </c>
      <c r="U40" s="16">
        <v>15035</v>
      </c>
      <c r="V40" s="16">
        <v>15346</v>
      </c>
      <c r="W40" s="16">
        <v>15648</v>
      </c>
      <c r="X40" s="16">
        <v>15699</v>
      </c>
      <c r="Y40" s="16">
        <v>16067</v>
      </c>
      <c r="Z40" s="16">
        <v>16351</v>
      </c>
      <c r="AA40" s="16">
        <v>16024</v>
      </c>
      <c r="AB40" s="16">
        <v>16101</v>
      </c>
      <c r="AC40" s="16">
        <v>16094</v>
      </c>
      <c r="AD40" s="16">
        <v>16023</v>
      </c>
      <c r="AE40" s="16">
        <v>16103</v>
      </c>
      <c r="AF40" s="16">
        <v>16059</v>
      </c>
      <c r="AG40" s="16">
        <v>15553</v>
      </c>
      <c r="AH40" s="16">
        <v>14904</v>
      </c>
      <c r="AI40" s="16">
        <v>14764</v>
      </c>
      <c r="AJ40" s="16">
        <v>14957</v>
      </c>
      <c r="AK40" s="16">
        <v>14904</v>
      </c>
      <c r="AL40" s="16">
        <v>13300</v>
      </c>
      <c r="AM40" s="14"/>
      <c r="AN40" s="14"/>
      <c r="AO40" s="14"/>
      <c r="AP40" s="14"/>
      <c r="AQ40" s="14"/>
      <c r="AR40" s="14"/>
      <c r="AS40" s="14"/>
      <c r="AT40" s="14"/>
      <c r="AU40" s="5"/>
      <c r="AV40" s="5"/>
      <c r="AW40" s="5"/>
      <c r="AX40" s="5"/>
      <c r="AY40" s="5"/>
      <c r="AZ40" s="5"/>
      <c r="BA40" s="5"/>
    </row>
    <row r="41" spans="1:53" ht="12.5" x14ac:dyDescent="0.25">
      <c r="A41" s="2">
        <v>8</v>
      </c>
      <c r="B41" s="2">
        <v>13102</v>
      </c>
      <c r="C41" s="16">
        <v>12503</v>
      </c>
      <c r="D41" s="16">
        <v>13396</v>
      </c>
      <c r="E41" s="16">
        <v>13137</v>
      </c>
      <c r="F41" s="16">
        <v>13601</v>
      </c>
      <c r="G41" s="16">
        <v>13275</v>
      </c>
      <c r="H41" s="16">
        <v>13705</v>
      </c>
      <c r="I41" s="16">
        <v>13762</v>
      </c>
      <c r="J41" s="16">
        <v>14120</v>
      </c>
      <c r="K41" s="16">
        <v>14345</v>
      </c>
      <c r="L41" s="16">
        <v>14560</v>
      </c>
      <c r="M41" s="16">
        <v>15106</v>
      </c>
      <c r="N41" s="16">
        <v>15283</v>
      </c>
      <c r="O41" s="16">
        <v>15072</v>
      </c>
      <c r="P41" s="16">
        <v>15256</v>
      </c>
      <c r="Q41" s="16">
        <v>15378</v>
      </c>
      <c r="R41" s="16">
        <v>15662</v>
      </c>
      <c r="S41" s="16">
        <v>15865</v>
      </c>
      <c r="T41" s="16">
        <v>15493</v>
      </c>
      <c r="U41" s="16">
        <v>15525</v>
      </c>
      <c r="V41" s="16">
        <v>15706</v>
      </c>
      <c r="W41" s="16">
        <v>16016</v>
      </c>
      <c r="X41" s="16">
        <v>15973</v>
      </c>
      <c r="Y41" s="16">
        <v>16168</v>
      </c>
      <c r="Z41" s="16">
        <v>16393</v>
      </c>
      <c r="AA41" s="16">
        <v>16558</v>
      </c>
      <c r="AB41" s="16">
        <v>16299</v>
      </c>
      <c r="AC41" s="16">
        <v>16186</v>
      </c>
      <c r="AD41" s="16">
        <v>15967</v>
      </c>
      <c r="AE41" s="16">
        <v>16207</v>
      </c>
      <c r="AF41" s="16">
        <v>16326</v>
      </c>
      <c r="AG41" s="16">
        <v>15842</v>
      </c>
      <c r="AH41" s="16">
        <v>15795</v>
      </c>
      <c r="AI41" s="16">
        <v>15249</v>
      </c>
      <c r="AJ41" s="16">
        <v>14987</v>
      </c>
      <c r="AK41" s="16">
        <v>14659</v>
      </c>
      <c r="AL41" s="16">
        <v>14792</v>
      </c>
      <c r="AM41" s="16">
        <v>13288</v>
      </c>
      <c r="AN41" s="14"/>
      <c r="AO41" s="14"/>
      <c r="AP41" s="14"/>
      <c r="AQ41" s="14"/>
      <c r="AR41" s="14"/>
      <c r="AS41" s="14"/>
      <c r="AT41" s="14"/>
      <c r="AU41" s="5"/>
      <c r="AV41" s="5"/>
      <c r="AW41" s="5"/>
      <c r="AX41" s="5"/>
      <c r="AY41" s="5"/>
      <c r="AZ41" s="5"/>
      <c r="BA41" s="5"/>
    </row>
    <row r="42" spans="1:53" ht="12.5" x14ac:dyDescent="0.25">
      <c r="A42" s="2">
        <v>7</v>
      </c>
      <c r="B42" s="2">
        <v>13354</v>
      </c>
      <c r="C42" s="16">
        <v>12484</v>
      </c>
      <c r="D42" s="16">
        <v>12708</v>
      </c>
      <c r="E42" s="16">
        <v>13874</v>
      </c>
      <c r="F42" s="16">
        <v>13525</v>
      </c>
      <c r="G42" s="16">
        <v>13480</v>
      </c>
      <c r="H42" s="16">
        <v>13523</v>
      </c>
      <c r="I42" s="16">
        <v>13891</v>
      </c>
      <c r="J42" s="16">
        <v>13983</v>
      </c>
      <c r="K42" s="16">
        <v>14054</v>
      </c>
      <c r="L42" s="16">
        <v>14321</v>
      </c>
      <c r="M42" s="16">
        <v>14558</v>
      </c>
      <c r="N42" s="16">
        <v>15013</v>
      </c>
      <c r="O42" s="16">
        <v>15189</v>
      </c>
      <c r="P42" s="16">
        <v>15025</v>
      </c>
      <c r="Q42" s="16">
        <v>15326</v>
      </c>
      <c r="R42" s="16">
        <v>15601</v>
      </c>
      <c r="S42" s="16">
        <v>15502</v>
      </c>
      <c r="T42" s="16">
        <v>15725</v>
      </c>
      <c r="U42" s="16">
        <v>15351</v>
      </c>
      <c r="V42" s="16">
        <v>15625</v>
      </c>
      <c r="W42" s="16">
        <v>15550</v>
      </c>
      <c r="X42" s="16">
        <v>16004</v>
      </c>
      <c r="Y42" s="16">
        <v>15943</v>
      </c>
      <c r="Z42" s="16">
        <v>16261</v>
      </c>
      <c r="AA42" s="16">
        <v>16313</v>
      </c>
      <c r="AB42" s="16">
        <v>16355</v>
      </c>
      <c r="AC42" s="16">
        <v>16588</v>
      </c>
      <c r="AD42" s="16">
        <v>16270</v>
      </c>
      <c r="AE42" s="16">
        <v>15965</v>
      </c>
      <c r="AF42" s="16">
        <v>16076</v>
      </c>
      <c r="AG42" s="16">
        <v>15997</v>
      </c>
      <c r="AH42" s="16">
        <v>15715</v>
      </c>
      <c r="AI42" s="16">
        <v>15126</v>
      </c>
      <c r="AJ42" s="16">
        <v>14797</v>
      </c>
      <c r="AK42" s="16">
        <v>15115</v>
      </c>
      <c r="AL42" s="16">
        <v>14691</v>
      </c>
      <c r="AM42" s="16">
        <v>14941</v>
      </c>
      <c r="AN42" s="16">
        <v>13413</v>
      </c>
      <c r="AO42" s="14"/>
      <c r="AP42" s="14"/>
      <c r="AQ42" s="14"/>
      <c r="AR42" s="14"/>
      <c r="AS42" s="14"/>
      <c r="AT42" s="14"/>
      <c r="AU42" s="5"/>
      <c r="AV42" s="5"/>
      <c r="AW42" s="5"/>
      <c r="AX42" s="5"/>
      <c r="AY42" s="5"/>
      <c r="AZ42" s="5"/>
      <c r="BA42" s="5"/>
    </row>
    <row r="43" spans="1:53" ht="12.5" x14ac:dyDescent="0.25">
      <c r="A43" s="2">
        <v>6</v>
      </c>
      <c r="B43" s="2">
        <v>14051</v>
      </c>
      <c r="C43" s="16">
        <v>12867</v>
      </c>
      <c r="D43" s="16">
        <v>12995</v>
      </c>
      <c r="E43" s="16">
        <v>13473</v>
      </c>
      <c r="F43" s="16">
        <v>14763</v>
      </c>
      <c r="G43" s="16">
        <v>14383</v>
      </c>
      <c r="H43" s="16">
        <v>14493</v>
      </c>
      <c r="I43" s="16">
        <v>14472</v>
      </c>
      <c r="J43" s="16">
        <v>14611</v>
      </c>
      <c r="K43" s="16">
        <v>14801</v>
      </c>
      <c r="L43" s="16">
        <v>14795</v>
      </c>
      <c r="M43" s="16">
        <v>15235</v>
      </c>
      <c r="N43" s="16">
        <v>15373</v>
      </c>
      <c r="O43" s="16">
        <v>16052</v>
      </c>
      <c r="P43" s="16">
        <v>15934</v>
      </c>
      <c r="Q43" s="16">
        <v>15858</v>
      </c>
      <c r="R43" s="16">
        <v>16076</v>
      </c>
      <c r="S43" s="16">
        <v>16486</v>
      </c>
      <c r="T43" s="16">
        <v>16370</v>
      </c>
      <c r="U43" s="16">
        <v>16416</v>
      </c>
      <c r="V43" s="16">
        <v>16180</v>
      </c>
      <c r="W43" s="16">
        <v>16400</v>
      </c>
      <c r="X43" s="16">
        <v>16458</v>
      </c>
      <c r="Y43" s="16">
        <v>16529</v>
      </c>
      <c r="Z43" s="16">
        <v>16971</v>
      </c>
      <c r="AA43" s="16">
        <v>17336</v>
      </c>
      <c r="AB43" s="16">
        <v>17378</v>
      </c>
      <c r="AC43" s="16">
        <v>17408</v>
      </c>
      <c r="AD43" s="16">
        <v>17660</v>
      </c>
      <c r="AE43" s="16">
        <v>17270</v>
      </c>
      <c r="AF43" s="16">
        <v>17408</v>
      </c>
      <c r="AG43" s="16">
        <v>17501</v>
      </c>
      <c r="AH43" s="16">
        <v>17435</v>
      </c>
      <c r="AI43" s="16">
        <v>17097</v>
      </c>
      <c r="AJ43" s="16">
        <v>16879</v>
      </c>
      <c r="AK43" s="16">
        <v>16616</v>
      </c>
      <c r="AL43" s="16">
        <v>16471</v>
      </c>
      <c r="AM43" s="16">
        <v>16643</v>
      </c>
      <c r="AN43" s="16">
        <v>16757</v>
      </c>
      <c r="AO43" s="16">
        <v>14713</v>
      </c>
      <c r="AP43" s="14"/>
      <c r="AQ43" s="14"/>
      <c r="AR43" s="14"/>
      <c r="AS43" s="14"/>
      <c r="AT43" s="14"/>
      <c r="AU43" s="5"/>
      <c r="AV43" s="5"/>
      <c r="AW43" s="5"/>
      <c r="AX43" s="5"/>
      <c r="AY43" s="5"/>
      <c r="AZ43" s="5"/>
      <c r="BA43" s="5"/>
    </row>
    <row r="44" spans="1:53" ht="12.5" x14ac:dyDescent="0.25">
      <c r="A44" s="2">
        <v>5</v>
      </c>
      <c r="B44" s="2">
        <v>17739</v>
      </c>
      <c r="C44" s="16">
        <v>16599</v>
      </c>
      <c r="D44" s="16">
        <v>16597</v>
      </c>
      <c r="E44" s="16">
        <v>17001</v>
      </c>
      <c r="F44" s="16">
        <v>17586</v>
      </c>
      <c r="G44" s="16">
        <v>19061</v>
      </c>
      <c r="H44" s="16">
        <v>18545</v>
      </c>
      <c r="I44" s="16">
        <v>18899</v>
      </c>
      <c r="J44" s="16">
        <v>18736</v>
      </c>
      <c r="K44" s="16">
        <v>18932</v>
      </c>
      <c r="L44" s="16">
        <v>18997</v>
      </c>
      <c r="M44" s="16">
        <v>19109</v>
      </c>
      <c r="N44" s="16">
        <v>19715</v>
      </c>
      <c r="O44" s="16">
        <v>19774</v>
      </c>
      <c r="P44" s="16">
        <v>20537</v>
      </c>
      <c r="Q44" s="16">
        <v>20666</v>
      </c>
      <c r="R44" s="16">
        <v>20632</v>
      </c>
      <c r="S44" s="16">
        <v>20585</v>
      </c>
      <c r="T44" s="16">
        <v>20506</v>
      </c>
      <c r="U44" s="16">
        <v>21049</v>
      </c>
      <c r="V44" s="16">
        <v>21340</v>
      </c>
      <c r="W44" s="16">
        <v>21246</v>
      </c>
      <c r="X44" s="16">
        <v>21107</v>
      </c>
      <c r="Y44" s="16">
        <v>21026</v>
      </c>
      <c r="Z44" s="16">
        <v>21393</v>
      </c>
      <c r="AA44" s="16">
        <v>21383</v>
      </c>
      <c r="AB44" s="16">
        <v>21506</v>
      </c>
      <c r="AC44" s="16">
        <v>21971</v>
      </c>
      <c r="AD44" s="16">
        <v>22215</v>
      </c>
      <c r="AE44" s="16">
        <v>21699</v>
      </c>
      <c r="AF44" s="16">
        <v>21625</v>
      </c>
      <c r="AG44" s="16">
        <v>21441</v>
      </c>
      <c r="AH44" s="16">
        <v>21747</v>
      </c>
      <c r="AI44" s="16">
        <v>21799</v>
      </c>
      <c r="AJ44" s="16">
        <v>21168</v>
      </c>
      <c r="AK44" s="16">
        <v>20905</v>
      </c>
      <c r="AL44" s="16">
        <v>20640</v>
      </c>
      <c r="AM44" s="16">
        <v>20171</v>
      </c>
      <c r="AN44" s="16">
        <v>20136</v>
      </c>
      <c r="AO44" s="16">
        <v>19918</v>
      </c>
      <c r="AP44" s="16">
        <v>18490</v>
      </c>
      <c r="AQ44" s="14"/>
      <c r="AR44" s="14"/>
      <c r="AS44" s="14"/>
      <c r="AT44" s="14"/>
      <c r="AU44" s="5"/>
      <c r="AV44" s="5"/>
      <c r="AW44" s="5"/>
      <c r="AX44" s="5"/>
      <c r="AY44" s="5"/>
      <c r="AZ44" s="5"/>
      <c r="BA44" s="5"/>
    </row>
    <row r="45" spans="1:53" ht="12.5" x14ac:dyDescent="0.25">
      <c r="A45" s="2">
        <v>4</v>
      </c>
      <c r="B45" s="2">
        <v>18451</v>
      </c>
      <c r="C45" s="16">
        <v>17622</v>
      </c>
      <c r="D45" s="16">
        <v>17681</v>
      </c>
      <c r="E45" s="16">
        <v>17964</v>
      </c>
      <c r="F45" s="16">
        <v>18477</v>
      </c>
      <c r="G45" s="16">
        <v>18986</v>
      </c>
      <c r="H45" s="16">
        <v>20864</v>
      </c>
      <c r="I45" s="16">
        <v>20514</v>
      </c>
      <c r="J45" s="16">
        <v>20584</v>
      </c>
      <c r="K45" s="16">
        <v>20466</v>
      </c>
      <c r="L45" s="16">
        <v>20773</v>
      </c>
      <c r="M45" s="16">
        <v>20964</v>
      </c>
      <c r="N45" s="16">
        <v>21106</v>
      </c>
      <c r="O45" s="16">
        <v>21325</v>
      </c>
      <c r="P45" s="16">
        <v>21558</v>
      </c>
      <c r="Q45" s="16">
        <v>22162</v>
      </c>
      <c r="R45" s="16">
        <v>22132</v>
      </c>
      <c r="S45" s="16">
        <v>22072</v>
      </c>
      <c r="T45" s="16">
        <v>22022</v>
      </c>
      <c r="U45" s="16">
        <v>22220</v>
      </c>
      <c r="V45" s="16">
        <v>22827</v>
      </c>
      <c r="W45" s="16">
        <v>23025</v>
      </c>
      <c r="X45" s="16">
        <v>22610</v>
      </c>
      <c r="Y45" s="16">
        <v>22652</v>
      </c>
      <c r="Z45" s="16">
        <v>22586</v>
      </c>
      <c r="AA45" s="16">
        <v>22989</v>
      </c>
      <c r="AB45" s="16">
        <v>22731</v>
      </c>
      <c r="AC45" s="16">
        <v>22888</v>
      </c>
      <c r="AD45" s="16">
        <v>23021</v>
      </c>
      <c r="AE45" s="16">
        <v>23313</v>
      </c>
      <c r="AF45" s="16">
        <v>22878</v>
      </c>
      <c r="AG45" s="16">
        <v>22684</v>
      </c>
      <c r="AH45" s="16">
        <v>22436</v>
      </c>
      <c r="AI45" s="16">
        <v>22680</v>
      </c>
      <c r="AJ45" s="16">
        <v>22314</v>
      </c>
      <c r="AK45" s="16">
        <v>22225</v>
      </c>
      <c r="AL45" s="16">
        <v>22027</v>
      </c>
      <c r="AM45" s="16">
        <v>21496</v>
      </c>
      <c r="AN45" s="16">
        <v>21573</v>
      </c>
      <c r="AO45" s="16">
        <v>21151</v>
      </c>
      <c r="AP45" s="16">
        <v>20790</v>
      </c>
      <c r="AQ45" s="16">
        <v>18377</v>
      </c>
      <c r="AR45" s="14"/>
      <c r="AS45" s="14"/>
      <c r="AT45" s="14"/>
      <c r="AU45" s="5"/>
      <c r="AV45" s="5"/>
      <c r="AW45" s="5"/>
      <c r="AX45" s="5"/>
      <c r="AY45" s="5"/>
      <c r="AZ45" s="5"/>
      <c r="BA45" s="5"/>
    </row>
    <row r="46" spans="1:53" ht="12.5" x14ac:dyDescent="0.25">
      <c r="A46" s="2">
        <v>3</v>
      </c>
      <c r="B46" s="2">
        <v>17045</v>
      </c>
      <c r="C46" s="16">
        <v>16141</v>
      </c>
      <c r="D46" s="16">
        <v>16305</v>
      </c>
      <c r="E46" s="16">
        <v>16634</v>
      </c>
      <c r="F46" s="16">
        <v>16946</v>
      </c>
      <c r="G46" s="16">
        <v>17434</v>
      </c>
      <c r="H46" s="16">
        <v>18193</v>
      </c>
      <c r="I46" s="16">
        <v>19842</v>
      </c>
      <c r="J46" s="16">
        <v>19202</v>
      </c>
      <c r="K46" s="16">
        <v>19541</v>
      </c>
      <c r="L46" s="16">
        <v>19175</v>
      </c>
      <c r="M46" s="16">
        <v>19662</v>
      </c>
      <c r="N46" s="16">
        <v>19633</v>
      </c>
      <c r="O46" s="16">
        <v>19721</v>
      </c>
      <c r="P46" s="16">
        <v>19936</v>
      </c>
      <c r="Q46" s="16">
        <v>20263</v>
      </c>
      <c r="R46" s="16">
        <v>20715</v>
      </c>
      <c r="S46" s="16">
        <v>20652</v>
      </c>
      <c r="T46" s="16">
        <v>20402</v>
      </c>
      <c r="U46" s="16">
        <v>20620</v>
      </c>
      <c r="V46" s="16">
        <v>21190</v>
      </c>
      <c r="W46" s="16">
        <v>21271</v>
      </c>
      <c r="X46" s="16">
        <v>21203</v>
      </c>
      <c r="Y46" s="16">
        <v>21223</v>
      </c>
      <c r="Z46" s="16">
        <v>20791</v>
      </c>
      <c r="AA46" s="16">
        <v>20730</v>
      </c>
      <c r="AB46" s="16">
        <v>21188</v>
      </c>
      <c r="AC46" s="16">
        <v>21438</v>
      </c>
      <c r="AD46" s="16">
        <v>21692</v>
      </c>
      <c r="AE46" s="16">
        <v>21738</v>
      </c>
      <c r="AF46" s="16">
        <v>21928</v>
      </c>
      <c r="AG46" s="16">
        <v>21441</v>
      </c>
      <c r="AH46" s="16">
        <v>21166</v>
      </c>
      <c r="AI46" s="16">
        <v>20889</v>
      </c>
      <c r="AJ46" s="16">
        <v>20900</v>
      </c>
      <c r="AK46" s="16">
        <v>20723</v>
      </c>
      <c r="AL46" s="16">
        <v>20730</v>
      </c>
      <c r="AM46" s="16">
        <v>20800</v>
      </c>
      <c r="AN46" s="16">
        <v>20191</v>
      </c>
      <c r="AO46" s="16">
        <v>19835</v>
      </c>
      <c r="AP46" s="16">
        <v>19373</v>
      </c>
      <c r="AQ46" s="16">
        <v>19152</v>
      </c>
      <c r="AR46" s="16">
        <v>17198</v>
      </c>
      <c r="AS46" s="14"/>
      <c r="AT46" s="14"/>
      <c r="AU46" s="5"/>
      <c r="AV46" s="5"/>
      <c r="AW46" s="5"/>
      <c r="AX46" s="5"/>
      <c r="AY46" s="5"/>
      <c r="AZ46" s="5"/>
      <c r="BA46" s="5"/>
    </row>
    <row r="47" spans="1:53" ht="12.5" x14ac:dyDescent="0.25">
      <c r="A47" s="2">
        <v>2</v>
      </c>
      <c r="B47" s="2">
        <v>15828</v>
      </c>
      <c r="C47" s="16">
        <v>14880</v>
      </c>
      <c r="D47" s="16">
        <v>14832</v>
      </c>
      <c r="E47" s="16">
        <v>15218</v>
      </c>
      <c r="F47" s="16">
        <v>15532</v>
      </c>
      <c r="G47" s="16">
        <v>15749</v>
      </c>
      <c r="H47" s="16">
        <v>16154</v>
      </c>
      <c r="I47" s="16">
        <v>16690</v>
      </c>
      <c r="J47" s="16">
        <v>18172</v>
      </c>
      <c r="K47" s="16">
        <v>17782</v>
      </c>
      <c r="L47" s="16">
        <v>18020</v>
      </c>
      <c r="M47" s="16">
        <v>17646</v>
      </c>
      <c r="N47" s="16">
        <v>17918</v>
      </c>
      <c r="O47" s="16">
        <v>17962</v>
      </c>
      <c r="P47" s="16">
        <v>18064</v>
      </c>
      <c r="Q47" s="16">
        <v>18597</v>
      </c>
      <c r="R47" s="16">
        <v>18691</v>
      </c>
      <c r="S47" s="16">
        <v>19108</v>
      </c>
      <c r="T47" s="16">
        <v>19229</v>
      </c>
      <c r="U47" s="16">
        <v>18983</v>
      </c>
      <c r="V47" s="16">
        <v>19350</v>
      </c>
      <c r="W47" s="16">
        <v>19594</v>
      </c>
      <c r="X47" s="16">
        <v>20064</v>
      </c>
      <c r="Y47" s="16">
        <v>20130</v>
      </c>
      <c r="Z47" s="16">
        <v>19723</v>
      </c>
      <c r="AA47" s="16">
        <v>19500</v>
      </c>
      <c r="AB47" s="16">
        <v>19707</v>
      </c>
      <c r="AC47" s="16">
        <v>20252</v>
      </c>
      <c r="AD47" s="16">
        <v>20466</v>
      </c>
      <c r="AE47" s="16">
        <v>20393</v>
      </c>
      <c r="AF47" s="16">
        <v>20429</v>
      </c>
      <c r="AG47" s="16">
        <v>20271</v>
      </c>
      <c r="AH47" s="16">
        <v>20260</v>
      </c>
      <c r="AI47" s="16">
        <v>20255</v>
      </c>
      <c r="AJ47" s="16">
        <v>19913</v>
      </c>
      <c r="AK47" s="16">
        <v>20046</v>
      </c>
      <c r="AL47" s="16">
        <v>20178</v>
      </c>
      <c r="AM47" s="16">
        <v>19906</v>
      </c>
      <c r="AN47" s="16">
        <v>19740</v>
      </c>
      <c r="AO47" s="16">
        <v>19317</v>
      </c>
      <c r="AP47" s="16">
        <v>19379</v>
      </c>
      <c r="AQ47" s="16">
        <v>18830</v>
      </c>
      <c r="AR47" s="16">
        <v>18735</v>
      </c>
      <c r="AS47" s="16">
        <v>16923</v>
      </c>
      <c r="AT47" s="14"/>
      <c r="AU47" s="5"/>
      <c r="AV47" s="5"/>
      <c r="AW47" s="5"/>
      <c r="AX47" s="5"/>
      <c r="AY47" s="5"/>
      <c r="AZ47" s="5"/>
      <c r="BA47" s="5"/>
    </row>
    <row r="48" spans="1:53" ht="12.5" x14ac:dyDescent="0.25">
      <c r="A48" s="2">
        <v>1</v>
      </c>
      <c r="B48" s="2">
        <v>18371</v>
      </c>
      <c r="C48" s="16">
        <v>17922</v>
      </c>
      <c r="D48" s="16">
        <v>18370</v>
      </c>
      <c r="E48" s="16">
        <v>18617</v>
      </c>
      <c r="F48" s="16">
        <v>19159</v>
      </c>
      <c r="G48" s="16">
        <v>19535</v>
      </c>
      <c r="H48" s="16">
        <v>20001</v>
      </c>
      <c r="I48" s="16">
        <v>20487</v>
      </c>
      <c r="J48" s="16">
        <v>21125</v>
      </c>
      <c r="K48" s="16">
        <v>22969</v>
      </c>
      <c r="L48" s="16">
        <v>22331</v>
      </c>
      <c r="M48" s="16">
        <v>22591</v>
      </c>
      <c r="N48" s="16">
        <v>22173</v>
      </c>
      <c r="O48" s="16">
        <v>22580</v>
      </c>
      <c r="P48" s="16">
        <v>22728</v>
      </c>
      <c r="Q48" s="16">
        <v>22676</v>
      </c>
      <c r="R48" s="16">
        <v>22786</v>
      </c>
      <c r="S48" s="16">
        <v>23179</v>
      </c>
      <c r="T48" s="16">
        <v>23717</v>
      </c>
      <c r="U48" s="16">
        <v>23847</v>
      </c>
      <c r="V48" s="16">
        <v>23874</v>
      </c>
      <c r="W48" s="16">
        <v>24161</v>
      </c>
      <c r="X48" s="16">
        <v>24038</v>
      </c>
      <c r="Y48" s="16">
        <v>24227</v>
      </c>
      <c r="Z48" s="16">
        <v>24185</v>
      </c>
      <c r="AA48" s="16">
        <v>23332</v>
      </c>
      <c r="AB48" s="16">
        <v>23550</v>
      </c>
      <c r="AC48" s="16">
        <v>23244</v>
      </c>
      <c r="AD48" s="16">
        <v>23631</v>
      </c>
      <c r="AE48" s="16">
        <v>23673</v>
      </c>
      <c r="AF48" s="16">
        <v>23379</v>
      </c>
      <c r="AG48" s="16">
        <v>23456</v>
      </c>
      <c r="AH48" s="16">
        <v>23385</v>
      </c>
      <c r="AI48" s="16">
        <v>23051</v>
      </c>
      <c r="AJ48" s="16">
        <v>22654</v>
      </c>
      <c r="AK48" s="16">
        <v>22507</v>
      </c>
      <c r="AL48" s="16">
        <v>22939</v>
      </c>
      <c r="AM48" s="16">
        <v>23214</v>
      </c>
      <c r="AN48" s="16">
        <v>22944</v>
      </c>
      <c r="AO48" s="16">
        <v>21960</v>
      </c>
      <c r="AP48" s="16">
        <v>21470</v>
      </c>
      <c r="AQ48" s="16">
        <v>21324</v>
      </c>
      <c r="AR48" s="16">
        <v>21082</v>
      </c>
      <c r="AS48" s="16">
        <v>21245</v>
      </c>
      <c r="AT48" s="16">
        <v>19010</v>
      </c>
      <c r="AU48" s="5"/>
      <c r="AV48" s="5"/>
      <c r="AW48" s="5"/>
      <c r="AX48" s="5"/>
      <c r="AY48" s="5"/>
      <c r="AZ48" s="5"/>
      <c r="BA48" s="5"/>
    </row>
    <row r="49" spans="1:53" ht="12.5" x14ac:dyDescent="0.25">
      <c r="A49" s="2"/>
      <c r="B49" s="2"/>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5"/>
      <c r="AV49" s="5"/>
      <c r="AW49" s="5"/>
      <c r="AX49" s="5"/>
      <c r="AY49" s="5"/>
      <c r="AZ49" s="5"/>
      <c r="BA49" s="5"/>
    </row>
    <row r="50" spans="1:53" ht="12.5" x14ac:dyDescent="0.25">
      <c r="A50" s="2"/>
      <c r="B50" s="2"/>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row>
    <row r="51" spans="1:53" ht="12.5"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row>
    <row r="52" spans="1:53" ht="12.5"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row>
    <row r="53" spans="1:53" ht="12.5"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row>
    <row r="54" spans="1:53" ht="12.5"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row>
    <row r="55" spans="1:53" ht="12.5"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row>
    <row r="56" spans="1:53" ht="12.5"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row>
    <row r="57" spans="1:53" ht="12.5"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row>
    <row r="58" spans="1:53" ht="12.5"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row>
    <row r="59" spans="1:53" ht="12.5"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row>
    <row r="60" spans="1:53" ht="12.5"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row>
    <row r="61" spans="1:53" ht="12.5"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row>
    <row r="62" spans="1:53" ht="12.5"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row>
    <row r="63" spans="1:53" ht="12.5"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row>
    <row r="64" spans="1:53" ht="12.5"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row>
    <row r="65" spans="1:53" ht="12.5"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row>
    <row r="66" spans="1:53" ht="12.5"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row>
    <row r="67" spans="1:53" ht="12.5"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row>
    <row r="68" spans="1:53" ht="12.5"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row>
    <row r="69" spans="1:53" ht="12.5"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row>
    <row r="70" spans="1:53" ht="12.5"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row>
    <row r="71" spans="1:53" ht="12.5"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row>
    <row r="72" spans="1:53" ht="12.5"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row>
    <row r="73" spans="1:53" ht="12.5"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row>
    <row r="74" spans="1:53" ht="12.5"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row>
    <row r="75" spans="1:53" ht="12.5"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row>
    <row r="76" spans="1:53" ht="12.5"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row>
    <row r="77" spans="1:53" ht="12.5"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row>
    <row r="78" spans="1:53" ht="12.5"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row>
    <row r="79" spans="1:53" ht="12.5"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row>
    <row r="80" spans="1:53" ht="12.5"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row>
    <row r="81" spans="1:53" ht="12.5"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row>
    <row r="82" spans="1:53" ht="12.5"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row>
    <row r="83" spans="1:53" ht="12.5"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row>
    <row r="84" spans="1:53" ht="12.5"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row>
    <row r="85" spans="1:53" ht="12.5"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row>
    <row r="86" spans="1:53" ht="12.5"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row>
    <row r="87" spans="1:53" ht="12.5"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row>
    <row r="88" spans="1:53" ht="12.5"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row>
    <row r="89" spans="1:53" ht="12.5"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row>
    <row r="90" spans="1:53" ht="12.5"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row>
    <row r="91" spans="1:53" ht="12.5"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row>
    <row r="92" spans="1:53" ht="12.5"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row>
    <row r="93" spans="1:53" ht="12.5"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row>
    <row r="94" spans="1:53" ht="12.5"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row>
    <row r="95" spans="1:53" ht="12.5"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row>
    <row r="96" spans="1:53" ht="12.5"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row>
    <row r="97" spans="1:53" ht="12.5"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row>
    <row r="98" spans="1:53" ht="12.5"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row>
    <row r="99" spans="1:53" ht="12.5"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row>
    <row r="100" spans="1:53" ht="12.5"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row>
    <row r="101" spans="1:53" ht="12.5"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row>
    <row r="102" spans="1:53" ht="12.5"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row>
    <row r="103" spans="1:53" ht="12.5"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row>
    <row r="104" spans="1:53" ht="12.5"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row>
    <row r="105" spans="1:53" ht="12.5"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row>
    <row r="106" spans="1:53" ht="12.5"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row>
    <row r="107" spans="1:53" ht="12.5"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row>
    <row r="108" spans="1:53" ht="12.5"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row>
    <row r="109" spans="1:53" ht="12.5"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row>
    <row r="110" spans="1:53" ht="12.5"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row>
    <row r="111" spans="1:53" ht="12.5"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row>
    <row r="112" spans="1:53" ht="12.5"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row>
    <row r="113" spans="1:53" ht="12.5"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row>
    <row r="114" spans="1:53" ht="12.5"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row>
    <row r="115" spans="1:53" ht="12.5"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row>
    <row r="116" spans="1:53" ht="12.5"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row>
    <row r="117" spans="1:53" ht="12.5"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row>
    <row r="118" spans="1:53" ht="12.5"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row>
    <row r="119" spans="1:53" ht="12.5"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row>
    <row r="120" spans="1:53" ht="12.5"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row>
    <row r="121" spans="1:53" ht="12.5"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row>
    <row r="122" spans="1:53" ht="12.5"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row>
    <row r="123" spans="1:53" ht="12.5"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row>
    <row r="124" spans="1:53" ht="12.5"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row>
    <row r="125" spans="1:53" ht="12.5"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row>
    <row r="126" spans="1:53" ht="12.5"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row>
    <row r="127" spans="1:53" ht="12.5"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row>
    <row r="128" spans="1:53" ht="12.5"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row>
    <row r="129" spans="1:53" ht="12.5"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row>
    <row r="130" spans="1:53" ht="12.5"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row>
    <row r="131" spans="1:53" ht="12.5"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row>
    <row r="132" spans="1:53" ht="12.5"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row>
    <row r="133" spans="1:53" ht="12.5"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row>
    <row r="134" spans="1:53" ht="12.5"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row>
    <row r="135" spans="1:53" ht="12.5"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row>
    <row r="136" spans="1:53" ht="12.5"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row>
    <row r="137" spans="1:53" ht="12.5"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row>
    <row r="138" spans="1:53" ht="12.5"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row>
    <row r="139" spans="1:53" ht="12.5"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row>
    <row r="140" spans="1:53" ht="12.5"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row>
    <row r="141" spans="1:53" ht="12.5"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row>
    <row r="142" spans="1:53" ht="12.5"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row>
    <row r="143" spans="1:53" ht="12.5"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row>
    <row r="144" spans="1:53" ht="12.5"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row>
    <row r="145" spans="1:53" ht="12.5"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row>
    <row r="146" spans="1:53" ht="12.5"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row>
    <row r="147" spans="1:53" ht="12.5"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row>
    <row r="148" spans="1:53" ht="12.5"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row>
    <row r="149" spans="1:53" ht="12.5"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row>
    <row r="150" spans="1:53" ht="12.5"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row>
    <row r="151" spans="1:53" ht="12.5"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row>
    <row r="152" spans="1:53" ht="12.5"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row>
    <row r="153" spans="1:53" ht="12.5"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row>
    <row r="154" spans="1:53" ht="12.5"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row>
    <row r="155" spans="1:53" ht="12.5"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row>
    <row r="156" spans="1:53" ht="12.5"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row>
    <row r="157" spans="1:53" ht="12.5"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row>
    <row r="158" spans="1:53" ht="12.5"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row>
    <row r="159" spans="1:53" ht="12.5"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row>
    <row r="160" spans="1:53" ht="12.5"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row>
    <row r="161" spans="1:53" ht="12.5"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row>
    <row r="162" spans="1:53" ht="12.5"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row>
    <row r="163" spans="1:53" ht="12.5"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row>
    <row r="164" spans="1:53" ht="12.5"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row>
    <row r="165" spans="1:53" ht="12.5"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row>
    <row r="166" spans="1:53" ht="12.5"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row>
    <row r="167" spans="1:53" ht="12.5"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row>
    <row r="168" spans="1:53" ht="12.5"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row>
    <row r="169" spans="1:53" ht="12.5"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row>
    <row r="170" spans="1:53" ht="12.5"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row>
    <row r="171" spans="1:53" ht="12.5"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row>
    <row r="172" spans="1:53" ht="12.5"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row>
    <row r="173" spans="1:53" ht="12.5"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row>
    <row r="174" spans="1:53" ht="12.5"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row>
    <row r="175" spans="1:53" ht="12.5"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row>
    <row r="176" spans="1:53" ht="12.5"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row>
    <row r="177" spans="1:53" ht="12.5"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row>
    <row r="178" spans="1:53" ht="12.5"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row>
    <row r="179" spans="1:53" ht="12.5"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row>
    <row r="180" spans="1:53" ht="12.5"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row>
    <row r="181" spans="1:53" ht="12.5"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row>
    <row r="182" spans="1:53" ht="12.5"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row>
    <row r="183" spans="1:53" ht="12.5"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row>
    <row r="184" spans="1:53" ht="12.5"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row>
    <row r="185" spans="1:53" ht="12.5"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row>
    <row r="186" spans="1:53" ht="12.5"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row>
    <row r="187" spans="1:53" ht="12.5"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row>
    <row r="188" spans="1:53" ht="12.5"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row>
    <row r="189" spans="1:53" ht="12.5"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row>
    <row r="190" spans="1:53" ht="12.5"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row>
    <row r="191" spans="1:53" ht="12.5"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row>
    <row r="192" spans="1:53" ht="12.5"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row>
    <row r="193" spans="1:53" ht="12.5"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row>
    <row r="194" spans="1:53" ht="12.5"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row>
    <row r="195" spans="1:53" ht="12.5"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row>
    <row r="196" spans="1:53" ht="12.5"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row>
    <row r="197" spans="1:53" ht="12.5"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row>
    <row r="198" spans="1:53" ht="12.5"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row>
    <row r="199" spans="1:53" ht="12.5"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row>
    <row r="200" spans="1:53" ht="12.5"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row>
    <row r="201" spans="1:53" ht="12.5"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row>
    <row r="202" spans="1:53" ht="12.5"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row>
    <row r="203" spans="1:53" ht="12.5"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row>
    <row r="204" spans="1:53" ht="12.5"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row>
    <row r="205" spans="1:53" ht="12.5"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row>
    <row r="206" spans="1:53" ht="12.5"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row>
    <row r="207" spans="1:53" ht="12.5"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row>
    <row r="208" spans="1:53" ht="12.5"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row>
    <row r="209" spans="1:53" ht="12.5"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row>
    <row r="210" spans="1:53" ht="12.5"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row>
    <row r="211" spans="1:53" ht="12.5"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row>
    <row r="212" spans="1:53" ht="12.5"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row>
    <row r="213" spans="1:53" ht="12.5"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row>
    <row r="214" spans="1:53" ht="12.5"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row>
    <row r="215" spans="1:53" ht="12.5"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row>
    <row r="216" spans="1:53" ht="12.5"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row>
    <row r="217" spans="1:53" ht="12.5"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row>
    <row r="218" spans="1:53" ht="12.5"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row>
    <row r="219" spans="1:53" ht="12.5"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row>
    <row r="220" spans="1:53" ht="12.5"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row>
    <row r="221" spans="1:53" ht="12.5"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row>
    <row r="222" spans="1:53" ht="12.5"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row>
    <row r="223" spans="1:53" ht="12.5"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row>
    <row r="224" spans="1:53" ht="12.5"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row>
    <row r="225" spans="1:53" ht="12.5"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row>
    <row r="226" spans="1:53" ht="12.5"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row>
    <row r="227" spans="1:53" ht="12.5"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row>
    <row r="228" spans="1:53" ht="12.5"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row>
    <row r="229" spans="1:53" ht="12.5"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row>
    <row r="230" spans="1:53" ht="12.5"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row>
    <row r="231" spans="1:53" ht="12.5"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row>
    <row r="232" spans="1:53" ht="12.5"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row>
    <row r="233" spans="1:53" ht="12.5"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row>
    <row r="234" spans="1:53" ht="12.5"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row>
    <row r="235" spans="1:53" ht="12.5"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row>
    <row r="236" spans="1:53" ht="12.5"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row>
    <row r="237" spans="1:53" ht="12.5"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row>
    <row r="238" spans="1:53" ht="12.5"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row>
    <row r="239" spans="1:53" ht="12.5"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row>
    <row r="240" spans="1:53" ht="12.5"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row>
    <row r="241" spans="1:53" ht="12.5"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row>
    <row r="242" spans="1:53" ht="12.5"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row>
    <row r="243" spans="1:53" ht="12.5"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row>
    <row r="244" spans="1:53" ht="12.5"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row>
    <row r="245" spans="1:53" ht="12.5"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row>
    <row r="246" spans="1:53" ht="12.5"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row>
    <row r="247" spans="1:53" ht="12.5"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row>
    <row r="248" spans="1:53" ht="12.5"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row>
    <row r="249" spans="1:53" ht="12.5"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row>
    <row r="250" spans="1:53" ht="12.5"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row>
    <row r="251" spans="1:53" ht="12.5"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row>
    <row r="252" spans="1:53" ht="12.5"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row>
    <row r="253" spans="1:53" ht="12.5"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row>
    <row r="254" spans="1:53" ht="12.5"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row>
    <row r="255" spans="1:53" ht="12.5"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row>
    <row r="256" spans="1:53" ht="12.5"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row>
    <row r="257" spans="1:53" ht="12.5"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row>
    <row r="258" spans="1:53" ht="12.5"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row>
    <row r="259" spans="1:53" ht="12.5"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row>
    <row r="260" spans="1:53" ht="12.5"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row>
    <row r="261" spans="1:53" ht="12.5"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row>
    <row r="262" spans="1:53" ht="12.5"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row>
    <row r="263" spans="1:53" ht="12.5"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row>
    <row r="264" spans="1:53" ht="12.5"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row>
    <row r="265" spans="1:53" ht="12.5"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row>
    <row r="266" spans="1:53" ht="12.5"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row>
    <row r="267" spans="1:53" ht="12.5"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row>
    <row r="268" spans="1:53" ht="12.5"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row>
    <row r="269" spans="1:53" ht="12.5"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row>
    <row r="270" spans="1:53" ht="12.5"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row>
    <row r="271" spans="1:53" ht="12.5"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row>
    <row r="272" spans="1:53" ht="12.5"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row>
    <row r="273" spans="1:53" ht="12.5"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row>
    <row r="274" spans="1:53" ht="12.5"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row>
    <row r="275" spans="1:53" ht="12.5"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row>
    <row r="276" spans="1:53" ht="12.5"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row>
    <row r="277" spans="1:53" ht="12.5"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row>
    <row r="278" spans="1:53" ht="12.5"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row>
    <row r="279" spans="1:53" ht="12.5"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row>
    <row r="280" spans="1:53" ht="12.5"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row>
    <row r="281" spans="1:53" ht="12.5"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row>
    <row r="282" spans="1:53" ht="12.5"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row>
    <row r="283" spans="1:53" ht="12.5"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row>
    <row r="284" spans="1:53" ht="12.5"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row>
    <row r="285" spans="1:53" ht="12.5"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row>
    <row r="286" spans="1:53" ht="12.5"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row>
    <row r="287" spans="1:53" ht="12.5"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row>
    <row r="288" spans="1:53" ht="12.5"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row>
    <row r="289" spans="1:53" ht="12.5"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row>
    <row r="290" spans="1:53" ht="12.5"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row>
    <row r="291" spans="1:53" ht="12.5"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row>
    <row r="292" spans="1:53" ht="12.5"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row>
    <row r="293" spans="1:53" ht="12.5"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row>
    <row r="294" spans="1:53" ht="12.5"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row>
    <row r="295" spans="1:53" ht="12.5"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row>
    <row r="296" spans="1:53" ht="12.5"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row>
    <row r="297" spans="1:53" ht="12.5"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row>
    <row r="298" spans="1:53" ht="12.5"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row>
    <row r="299" spans="1:53" ht="12.5"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row>
    <row r="300" spans="1:53" ht="12.5"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row>
    <row r="301" spans="1:53" ht="12.5"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row>
    <row r="302" spans="1:53" ht="12.5"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row>
    <row r="303" spans="1:53" ht="12.5"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row>
    <row r="304" spans="1:53" ht="12.5"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row>
    <row r="305" spans="1:53" ht="12.5"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row>
    <row r="306" spans="1:53" ht="12.5"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row>
    <row r="307" spans="1:53" ht="12.5"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row>
    <row r="308" spans="1:53" ht="12.5"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row>
    <row r="309" spans="1:53" ht="12.5"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row>
    <row r="310" spans="1:53" ht="12.5"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row>
    <row r="311" spans="1:53" ht="12.5"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row>
    <row r="312" spans="1:53" ht="12.5"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row>
    <row r="313" spans="1:53" ht="12.5"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row>
    <row r="314" spans="1:53" ht="12.5"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row>
    <row r="315" spans="1:53" ht="12.5"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row>
    <row r="316" spans="1:53" ht="12.5"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row>
    <row r="317" spans="1:53" ht="12.5"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row>
    <row r="318" spans="1:53" ht="12.5"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row>
    <row r="319" spans="1:53" ht="12.5"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row>
    <row r="320" spans="1:53" ht="12.5"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row>
    <row r="321" spans="1:53" ht="12.5"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row>
    <row r="322" spans="1:53" ht="12.5"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row>
    <row r="323" spans="1:53" ht="12.5"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row>
    <row r="324" spans="1:53" ht="12.5"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row>
    <row r="325" spans="1:53" ht="12.5"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row>
    <row r="326" spans="1:53" ht="12.5"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row>
    <row r="327" spans="1:53" ht="12.5"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row>
    <row r="328" spans="1:53" ht="12.5"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row>
    <row r="329" spans="1:53" ht="12.5"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row>
    <row r="330" spans="1:53" ht="12.5"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row>
    <row r="331" spans="1:53" ht="12.5"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row>
    <row r="332" spans="1:53" ht="12.5"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row>
    <row r="333" spans="1:53" ht="12.5"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row>
    <row r="334" spans="1:53" ht="12.5"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row>
    <row r="335" spans="1:53" ht="12.5"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row>
    <row r="336" spans="1:53" ht="12.5"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row>
    <row r="337" spans="1:53" ht="12.5"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row>
    <row r="338" spans="1:53" ht="12.5"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row>
    <row r="339" spans="1:53" ht="12.5"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row>
    <row r="340" spans="1:53" ht="12.5"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row>
    <row r="341" spans="1:53" ht="12.5"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row>
    <row r="342" spans="1:53" ht="12.5"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row>
    <row r="343" spans="1:53" ht="12.5"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row>
    <row r="344" spans="1:53" ht="12.5"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row>
    <row r="345" spans="1:53" ht="12.5"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row>
    <row r="346" spans="1:53" ht="12.5"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row>
    <row r="347" spans="1:53" ht="12.5"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row>
    <row r="348" spans="1:53" ht="12.5"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row>
    <row r="349" spans="1:53" ht="12.5"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row>
    <row r="350" spans="1:53" ht="12.5"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row>
    <row r="351" spans="1:53" ht="12.5"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row>
    <row r="352" spans="1:53" ht="12.5"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row>
    <row r="353" spans="1:53" ht="12.5"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row>
    <row r="354" spans="1:53" ht="12.5"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row>
    <row r="355" spans="1:53" ht="12.5"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row>
    <row r="356" spans="1:53" ht="12.5"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row>
    <row r="357" spans="1:53" ht="12.5"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row>
    <row r="358" spans="1:53" ht="12.5"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row>
    <row r="359" spans="1:53" ht="12.5"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row>
    <row r="360" spans="1:53" ht="12.5"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row>
    <row r="361" spans="1:53" ht="12.5"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row>
    <row r="362" spans="1:53" ht="12.5"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row>
    <row r="363" spans="1:53" ht="12.5"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row>
    <row r="364" spans="1:53" ht="12.5"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row>
    <row r="365" spans="1:53" ht="12.5"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row>
    <row r="366" spans="1:53" ht="12.5"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row>
    <row r="367" spans="1:53" ht="12.5"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row>
    <row r="368" spans="1:53" ht="12.5"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row>
    <row r="369" spans="1:53" ht="12.5"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row>
    <row r="370" spans="1:53" ht="12.5"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row>
    <row r="371" spans="1:53" ht="12.5"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row>
    <row r="372" spans="1:53" ht="12.5"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row>
    <row r="373" spans="1:53" ht="12.5"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row>
    <row r="374" spans="1:53" ht="12.5"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row>
    <row r="375" spans="1:53" ht="12.5"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row>
    <row r="376" spans="1:53" ht="12.5"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row>
    <row r="377" spans="1:53" ht="12.5"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row>
    <row r="378" spans="1:53" ht="12.5"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row>
    <row r="379" spans="1:53" ht="12.5"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row>
    <row r="380" spans="1:53" ht="12.5"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row>
    <row r="381" spans="1:53" ht="12.5"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row>
    <row r="382" spans="1:53" ht="12.5"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row>
    <row r="383" spans="1:53" ht="12.5"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row>
    <row r="384" spans="1:53" ht="12.5"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row>
    <row r="385" spans="1:53" ht="12.5"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row>
    <row r="386" spans="1:53" ht="12.5"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row>
    <row r="387" spans="1:53" ht="12.5"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row>
    <row r="388" spans="1:53" ht="12.5"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row>
    <row r="389" spans="1:53" ht="12.5"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row>
    <row r="390" spans="1:53" ht="12.5"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row>
    <row r="391" spans="1:53" ht="12.5"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row>
    <row r="392" spans="1:53" ht="12.5"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row>
    <row r="393" spans="1:53" ht="12.5"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row>
    <row r="394" spans="1:53" ht="12.5"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row>
    <row r="395" spans="1:53" ht="12.5"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row>
    <row r="396" spans="1:53" ht="12.5"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row>
    <row r="397" spans="1:53" ht="12.5"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row>
    <row r="398" spans="1:53" ht="12.5"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row>
    <row r="399" spans="1:53" ht="12.5"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row>
    <row r="400" spans="1:53" ht="12.5"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row>
    <row r="401" spans="1:53" ht="12.5"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row>
    <row r="402" spans="1:53" ht="12.5"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row>
    <row r="403" spans="1:53" ht="12.5"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row>
    <row r="404" spans="1:53" ht="12.5"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row>
    <row r="405" spans="1:53" ht="12.5"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row>
    <row r="406" spans="1:53" ht="12.5"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row>
    <row r="407" spans="1:53" ht="12.5"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row>
    <row r="408" spans="1:53" ht="12.5"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row>
    <row r="409" spans="1:53" ht="12.5"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row>
    <row r="410" spans="1:53" ht="12.5"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row>
    <row r="411" spans="1:53" ht="12.5"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row>
    <row r="412" spans="1:53" ht="12.5"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row>
    <row r="413" spans="1:53" ht="12.5"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row>
    <row r="414" spans="1:53" ht="12.5"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row>
    <row r="415" spans="1:53" ht="12.5"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row>
    <row r="416" spans="1:53" ht="12.5"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row>
    <row r="417" spans="1:53" ht="12.5"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row>
    <row r="418" spans="1:53" ht="12.5"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row>
    <row r="419" spans="1:53" ht="12.5"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row>
    <row r="420" spans="1:53" ht="12.5"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row>
    <row r="421" spans="1:53" ht="12.5"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row>
    <row r="422" spans="1:53" ht="12.5"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row>
    <row r="423" spans="1:53" ht="12.5"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row>
    <row r="424" spans="1:53" ht="12.5"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row>
    <row r="425" spans="1:53" ht="12.5"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row>
    <row r="426" spans="1:53" ht="12.5"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row>
    <row r="427" spans="1:53" ht="12.5"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row>
    <row r="428" spans="1:53" ht="12.5"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row>
    <row r="429" spans="1:53" ht="12.5"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row>
    <row r="430" spans="1:53" ht="12.5"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row>
    <row r="431" spans="1:53" ht="12.5"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row>
    <row r="432" spans="1:53" ht="12.5"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row>
    <row r="433" spans="1:53" ht="12.5"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row>
    <row r="434" spans="1:53" ht="12.5"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row>
    <row r="435" spans="1:53" ht="12.5"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row>
    <row r="436" spans="1:53" ht="12.5"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row>
    <row r="437" spans="1:53" ht="12.5"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row>
    <row r="438" spans="1:53" ht="12.5"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row>
    <row r="439" spans="1:53" ht="12.5"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row>
    <row r="440" spans="1:53" ht="12.5"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row>
    <row r="441" spans="1:53" ht="12.5"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row>
    <row r="442" spans="1:53" ht="12.5"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row>
    <row r="443" spans="1:53" ht="12.5"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row>
    <row r="444" spans="1:53" ht="12.5"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row>
    <row r="445" spans="1:53" ht="12.5"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row>
    <row r="446" spans="1:53" ht="12.5"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row>
    <row r="447" spans="1:53" ht="12.5"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row>
    <row r="448" spans="1:53" ht="12.5"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row>
    <row r="449" spans="1:53" ht="12.5"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row>
    <row r="450" spans="1:53" ht="12.5"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row>
    <row r="451" spans="1:53" ht="12.5"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row>
    <row r="452" spans="1:53" ht="12.5"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row>
    <row r="453" spans="1:53" ht="12.5"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row>
    <row r="454" spans="1:53" ht="12.5"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row>
    <row r="455" spans="1:53" ht="12.5"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row>
    <row r="456" spans="1:53" ht="12.5"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row>
    <row r="457" spans="1:53" ht="12.5"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row>
    <row r="458" spans="1:53" ht="12.5"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row>
    <row r="459" spans="1:53" ht="12.5"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row>
    <row r="460" spans="1:53" ht="12.5"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row>
    <row r="461" spans="1:53" ht="12.5"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row>
    <row r="462" spans="1:53" ht="12.5"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row>
    <row r="463" spans="1:53" ht="12.5"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row>
    <row r="464" spans="1:53" ht="12.5"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row>
    <row r="465" spans="1:53" ht="12.5"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row>
    <row r="466" spans="1:53" ht="12.5"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row>
    <row r="467" spans="1:53" ht="12.5"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row>
    <row r="468" spans="1:53" ht="12.5"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row>
    <row r="469" spans="1:53" ht="12.5"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row>
    <row r="470" spans="1:53" ht="12.5"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row>
    <row r="471" spans="1:53" ht="12.5"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row>
    <row r="472" spans="1:53" ht="12.5"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row>
    <row r="473" spans="1:53" ht="12.5"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row>
    <row r="474" spans="1:53" ht="12.5"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row>
    <row r="475" spans="1:53" ht="12.5"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row>
    <row r="476" spans="1:53" ht="12.5"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row>
    <row r="477" spans="1:53" ht="12.5"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row>
    <row r="478" spans="1:53" ht="12.5"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row>
    <row r="479" spans="1:53" ht="12.5"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row>
    <row r="480" spans="1:53" ht="12.5"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row>
    <row r="481" spans="1:53" ht="12.5"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row>
    <row r="482" spans="1:53" ht="12.5"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row>
    <row r="483" spans="1:53" ht="12.5"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row>
    <row r="484" spans="1:53" ht="12.5"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row>
    <row r="485" spans="1:53" ht="12.5"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row>
    <row r="486" spans="1:53" ht="12.5"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row>
    <row r="487" spans="1:53" ht="12.5"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row>
    <row r="488" spans="1:53" ht="12.5"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row>
    <row r="489" spans="1:53" ht="12.5"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row>
    <row r="490" spans="1:53" ht="12.5"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row>
    <row r="491" spans="1:53" ht="12.5"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row>
    <row r="492" spans="1:53" ht="12.5"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row>
    <row r="493" spans="1:53" ht="12.5"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row>
    <row r="494" spans="1:53" ht="12.5"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row>
    <row r="495" spans="1:53" ht="12.5"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row>
    <row r="496" spans="1:53" ht="12.5"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row>
    <row r="497" spans="1:53" ht="12.5"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row>
    <row r="498" spans="1:53" ht="12.5"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row>
    <row r="499" spans="1:53" ht="12.5"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row>
    <row r="500" spans="1:53" ht="12.5"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row>
    <row r="501" spans="1:53" ht="12.5"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row>
    <row r="502" spans="1:53" ht="12.5"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row>
    <row r="503" spans="1:53" ht="12.5"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row>
    <row r="504" spans="1:53" ht="12.5"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row>
    <row r="505" spans="1:53" ht="12.5"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row>
    <row r="506" spans="1:53" ht="12.5"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row>
    <row r="507" spans="1:53" ht="12.5"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row>
    <row r="508" spans="1:53" ht="12.5"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row>
    <row r="509" spans="1:53" ht="12.5"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row>
    <row r="510" spans="1:53" ht="12.5"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row>
    <row r="511" spans="1:53" ht="12.5"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row>
    <row r="512" spans="1:53" ht="12.5"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row>
    <row r="513" spans="1:53" ht="12.5"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row>
    <row r="514" spans="1:53" ht="12.5"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row>
    <row r="515" spans="1:53" ht="12.5"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row>
    <row r="516" spans="1:53" ht="12.5"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row>
    <row r="517" spans="1:53" ht="12.5"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row>
    <row r="518" spans="1:53" ht="12.5"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row>
    <row r="519" spans="1:53" ht="12.5"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row>
    <row r="520" spans="1:53" ht="12.5"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row>
    <row r="521" spans="1:53" ht="12.5"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row>
    <row r="522" spans="1:53" ht="12.5"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row>
    <row r="523" spans="1:53" ht="12.5"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row>
    <row r="524" spans="1:53" ht="12.5"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row>
    <row r="525" spans="1:53" ht="12.5"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row>
    <row r="526" spans="1:53" ht="12.5"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row>
    <row r="527" spans="1:53" ht="12.5"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row>
    <row r="528" spans="1:53" ht="12.5"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row>
    <row r="529" spans="1:53" ht="12.5"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row>
    <row r="530" spans="1:53" ht="12.5"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row>
    <row r="531" spans="1:53" ht="12.5"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row>
    <row r="532" spans="1:53" ht="12.5"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row>
    <row r="533" spans="1:53" ht="12.5"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row>
    <row r="534" spans="1:53" ht="12.5"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row>
    <row r="535" spans="1:53" ht="12.5"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row>
    <row r="536" spans="1:53" ht="12.5"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row>
    <row r="537" spans="1:53" ht="12.5"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row>
    <row r="538" spans="1:53" ht="12.5"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row>
    <row r="539" spans="1:53" ht="12.5"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row>
    <row r="540" spans="1:53" ht="12.5"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row>
    <row r="541" spans="1:53" ht="12.5"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row>
    <row r="542" spans="1:53" ht="12.5"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row>
    <row r="543" spans="1:53" ht="12.5"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row>
    <row r="544" spans="1:53" ht="12.5"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row>
    <row r="545" spans="1:53" ht="12.5"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row>
    <row r="546" spans="1:53" ht="12.5"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row>
    <row r="547" spans="1:53" ht="12.5"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row>
    <row r="548" spans="1:53" ht="12.5"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row>
    <row r="549" spans="1:53" ht="12.5"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row>
    <row r="550" spans="1:53" ht="12.5"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row>
    <row r="551" spans="1:53" ht="12.5"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row>
    <row r="552" spans="1:53" ht="12.5"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row>
    <row r="553" spans="1:53" ht="12.5"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row>
    <row r="554" spans="1:53" ht="12.5"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row>
    <row r="555" spans="1:53" ht="12.5"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row>
    <row r="556" spans="1:53" ht="12.5"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row>
    <row r="557" spans="1:53" ht="12.5"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row>
    <row r="558" spans="1:53" ht="12.5"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row>
    <row r="559" spans="1:53" ht="12.5"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row>
    <row r="560" spans="1:53" ht="12.5"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row>
    <row r="561" spans="1:53" ht="12.5"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row>
    <row r="562" spans="1:53" ht="12.5"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row>
    <row r="563" spans="1:53" ht="12.5"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row>
    <row r="564" spans="1:53" ht="12.5"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row>
    <row r="565" spans="1:53" ht="12.5"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row>
    <row r="566" spans="1:53" ht="12.5"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row>
    <row r="567" spans="1:53" ht="12.5"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row>
    <row r="568" spans="1:53" ht="12.5"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row>
    <row r="569" spans="1:53" ht="12.5"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row>
    <row r="570" spans="1:53" ht="12.5"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row>
    <row r="571" spans="1:53" ht="12.5"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row>
    <row r="572" spans="1:53" ht="12.5"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row>
    <row r="573" spans="1:53" ht="12.5"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row>
    <row r="574" spans="1:53" ht="12.5"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row>
    <row r="575" spans="1:53" ht="12.5"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row>
    <row r="576" spans="1:53" ht="12.5"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row>
    <row r="577" spans="1:53" ht="12.5"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row>
    <row r="578" spans="1:53" ht="12.5"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row>
    <row r="579" spans="1:53" ht="12.5"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row>
    <row r="580" spans="1:53" ht="12.5"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row>
    <row r="581" spans="1:53" ht="12.5"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row>
    <row r="582" spans="1:53" ht="12.5"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row>
    <row r="583" spans="1:53" ht="12.5"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row>
    <row r="584" spans="1:53" ht="12.5"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row>
    <row r="585" spans="1:53" ht="12.5"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row>
    <row r="586" spans="1:53" ht="12.5"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row>
    <row r="587" spans="1:53" ht="12.5"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row>
    <row r="588" spans="1:53" ht="12.5"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row>
    <row r="589" spans="1:53" ht="12.5"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row>
    <row r="590" spans="1:53" ht="12.5"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row>
    <row r="591" spans="1:53" ht="12.5"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row>
    <row r="592" spans="1:53" ht="12.5"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row>
    <row r="593" spans="1:53" ht="12.5"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row>
    <row r="594" spans="1:53" ht="12.5"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row>
    <row r="595" spans="1:53" ht="12.5"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row>
    <row r="596" spans="1:53" ht="12.5"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row>
    <row r="597" spans="1:53" ht="12.5"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row>
    <row r="598" spans="1:53" ht="12.5"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row>
    <row r="599" spans="1:53" ht="12.5"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row>
    <row r="600" spans="1:53" ht="12.5"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row>
    <row r="601" spans="1:53" ht="12.5"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row>
    <row r="602" spans="1:53" ht="12.5"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row>
    <row r="603" spans="1:53" ht="12.5"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row>
    <row r="604" spans="1:53" ht="12.5"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row>
    <row r="605" spans="1:53" ht="12.5"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row>
    <row r="606" spans="1:53" ht="12.5"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row>
    <row r="607" spans="1:53" ht="12.5"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row>
    <row r="608" spans="1:53" ht="12.5"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row>
    <row r="609" spans="1:53" ht="12.5"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row>
    <row r="610" spans="1:53" ht="12.5"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row>
    <row r="611" spans="1:53" ht="12.5"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row>
    <row r="612" spans="1:53" ht="12.5"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row>
    <row r="613" spans="1:53" ht="12.5"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row>
    <row r="614" spans="1:53" ht="12.5"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row>
    <row r="615" spans="1:53" ht="12.5"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row>
    <row r="616" spans="1:53" ht="12.5"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row>
    <row r="617" spans="1:53" ht="12.5"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row>
    <row r="618" spans="1:53" ht="12.5"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row>
    <row r="619" spans="1:53" ht="12.5"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row>
    <row r="620" spans="1:53" ht="12.5"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row>
    <row r="621" spans="1:53" ht="12.5"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row>
    <row r="622" spans="1:53" ht="12.5"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row>
    <row r="623" spans="1:53" ht="12.5"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row>
    <row r="624" spans="1:53" ht="12.5"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row>
    <row r="625" spans="1:53" ht="12.5"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row>
    <row r="626" spans="1:53" ht="12.5"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row>
    <row r="627" spans="1:53" ht="12.5"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row>
    <row r="628" spans="1:53" ht="12.5"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row>
    <row r="629" spans="1:53" ht="12.5"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row>
    <row r="630" spans="1:53" ht="12.5"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row>
    <row r="631" spans="1:53" ht="12.5"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row>
    <row r="632" spans="1:53" ht="12.5"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row>
    <row r="633" spans="1:53" ht="12.5"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row>
    <row r="634" spans="1:53" ht="12.5"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row>
    <row r="635" spans="1:53" ht="12.5"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row>
    <row r="636" spans="1:53" ht="12.5"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row>
    <row r="637" spans="1:53" ht="12.5"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row>
    <row r="638" spans="1:53" ht="12.5"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row>
    <row r="639" spans="1:53" ht="12.5"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row>
    <row r="640" spans="1:53" ht="12.5"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row>
    <row r="641" spans="1:53" ht="12.5"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row>
    <row r="642" spans="1:53" ht="12.5"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row>
    <row r="643" spans="1:53" ht="12.5"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row>
    <row r="644" spans="1:53" ht="12.5"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row>
    <row r="645" spans="1:53" ht="12.5"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row>
    <row r="646" spans="1:53" ht="12.5"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row>
    <row r="647" spans="1:53" ht="12.5"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row>
    <row r="648" spans="1:53" ht="12.5"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row>
    <row r="649" spans="1:53" ht="12.5"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row>
    <row r="650" spans="1:53" ht="12.5"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row>
    <row r="651" spans="1:53" ht="12.5"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row>
    <row r="652" spans="1:53" ht="12.5"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row>
    <row r="653" spans="1:53" ht="12.5"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row>
    <row r="654" spans="1:53" ht="12.5"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row>
    <row r="655" spans="1:53" ht="12.5"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row>
    <row r="656" spans="1:53" ht="12.5"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row>
    <row r="657" spans="1:53" ht="12.5"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row>
    <row r="658" spans="1:53" ht="12.5"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row>
    <row r="659" spans="1:53" ht="12.5"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row>
    <row r="660" spans="1:53" ht="12.5"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row>
    <row r="661" spans="1:53" ht="12.5"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row>
    <row r="662" spans="1:53" ht="12.5"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row>
    <row r="663" spans="1:53" ht="12.5"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row>
    <row r="664" spans="1:53" ht="12.5"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row>
    <row r="665" spans="1:53" ht="12.5"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row>
    <row r="666" spans="1:53" ht="12.5"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row>
    <row r="667" spans="1:53" ht="12.5"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row>
    <row r="668" spans="1:53" ht="12.5"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row>
    <row r="669" spans="1:53" ht="12.5"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row>
    <row r="670" spans="1:53" ht="12.5"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row>
    <row r="671" spans="1:53" ht="12.5"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row>
    <row r="672" spans="1:53" ht="12.5"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row>
    <row r="673" spans="1:53" ht="12.5"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row>
    <row r="674" spans="1:53" ht="12.5"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row>
    <row r="675" spans="1:53" ht="12.5"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row>
    <row r="676" spans="1:53" ht="12.5"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row>
    <row r="677" spans="1:53" ht="12.5"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row>
    <row r="678" spans="1:53" ht="12.5"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row>
    <row r="679" spans="1:53" ht="12.5"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row>
    <row r="680" spans="1:53" ht="12.5"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row>
    <row r="681" spans="1:53" ht="12.5"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row>
    <row r="682" spans="1:53" ht="12.5"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row>
    <row r="683" spans="1:53" ht="12.5"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row>
    <row r="684" spans="1:53" ht="12.5"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row>
    <row r="685" spans="1:53" ht="12.5"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row>
    <row r="686" spans="1:53" ht="12.5"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row>
    <row r="687" spans="1:53" ht="12.5"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row>
    <row r="688" spans="1:53" ht="12.5"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row>
    <row r="689" spans="1:53" ht="12.5"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row>
    <row r="690" spans="1:53" ht="12.5"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row>
    <row r="691" spans="1:53" ht="12.5"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row>
    <row r="692" spans="1:53" ht="12.5"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row>
    <row r="693" spans="1:53" ht="12.5"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row>
    <row r="694" spans="1:53" ht="12.5"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row>
    <row r="695" spans="1:53" ht="12.5"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row>
    <row r="696" spans="1:53" ht="12.5"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row>
    <row r="697" spans="1:53" ht="12.5"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row>
    <row r="698" spans="1:53" ht="12.5"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row>
    <row r="699" spans="1:53" ht="12.5"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row>
    <row r="700" spans="1:53" ht="12.5"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row>
    <row r="701" spans="1:53" ht="12.5"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row>
    <row r="702" spans="1:53" ht="12.5"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row>
    <row r="703" spans="1:53" ht="12.5"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row>
    <row r="704" spans="1:53" ht="12.5"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row>
    <row r="705" spans="1:53" ht="12.5"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row>
    <row r="706" spans="1:53" ht="12.5"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row>
    <row r="707" spans="1:53" ht="12.5"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row>
    <row r="708" spans="1:53" ht="12.5"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row>
    <row r="709" spans="1:53" ht="12.5"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row>
    <row r="710" spans="1:53" ht="12.5"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row>
    <row r="711" spans="1:53" ht="12.5"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row>
    <row r="712" spans="1:53" ht="12.5"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row>
    <row r="713" spans="1:53" ht="12.5"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row>
    <row r="714" spans="1:53" ht="12.5"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row>
    <row r="715" spans="1:53" ht="12.5"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row>
    <row r="716" spans="1:53" ht="12.5"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row>
    <row r="717" spans="1:53" ht="12.5"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row>
    <row r="718" spans="1:53" ht="12.5"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row>
    <row r="719" spans="1:53" ht="12.5"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row>
    <row r="720" spans="1:53" ht="12.5"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row>
    <row r="721" spans="1:53" ht="12.5"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row>
    <row r="722" spans="1:53" ht="12.5"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row>
    <row r="723" spans="1:53" ht="12.5"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row>
    <row r="724" spans="1:53" ht="12.5"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row>
    <row r="725" spans="1:53" ht="12.5"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row>
    <row r="726" spans="1:53" ht="12.5"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row>
    <row r="727" spans="1:53" ht="12.5"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row>
    <row r="728" spans="1:53" ht="12.5"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row>
    <row r="729" spans="1:53" ht="12.5"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row>
    <row r="730" spans="1:53" ht="12.5"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row>
    <row r="731" spans="1:53" ht="12.5"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row>
    <row r="732" spans="1:53" ht="12.5"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row>
    <row r="733" spans="1:53" ht="12.5"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row>
    <row r="734" spans="1:53" ht="12.5"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row>
    <row r="735" spans="1:53" ht="12.5"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row>
    <row r="736" spans="1:53" ht="12.5"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row>
    <row r="737" spans="1:53" ht="12.5"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row>
    <row r="738" spans="1:53" ht="12.5"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row>
    <row r="739" spans="1:53" ht="12.5"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row>
    <row r="740" spans="1:53" ht="12.5"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row>
    <row r="741" spans="1:53" ht="12.5"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row>
    <row r="742" spans="1:53" ht="12.5"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row>
    <row r="743" spans="1:53" ht="12.5"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row>
    <row r="744" spans="1:53" ht="12.5"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row>
    <row r="745" spans="1:53" ht="12.5"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row>
    <row r="746" spans="1:53" ht="12.5"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row>
    <row r="747" spans="1:53" ht="12.5"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row>
    <row r="748" spans="1:53" ht="12.5"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row>
    <row r="749" spans="1:53" ht="12.5"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row>
    <row r="750" spans="1:53" ht="12.5"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row>
    <row r="751" spans="1:53" ht="12.5"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row>
    <row r="752" spans="1:53" ht="12.5"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row>
    <row r="753" spans="1:53" ht="12.5"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row>
    <row r="754" spans="1:53" ht="12.5"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row>
    <row r="755" spans="1:53" ht="12.5"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row>
    <row r="756" spans="1:53" ht="12.5"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row>
    <row r="757" spans="1:53" ht="12.5"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row>
    <row r="758" spans="1:53" ht="12.5"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row>
    <row r="759" spans="1:53" ht="12.5"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row>
    <row r="760" spans="1:53" ht="12.5"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row>
    <row r="761" spans="1:53" ht="12.5"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row>
    <row r="762" spans="1:53" ht="12.5"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row>
    <row r="763" spans="1:53" ht="12.5"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row>
    <row r="764" spans="1:53" ht="12.5"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row>
    <row r="765" spans="1:53" ht="12.5"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row>
    <row r="766" spans="1:53" ht="12.5"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row>
    <row r="767" spans="1:53" ht="12.5"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row>
    <row r="768" spans="1:53" ht="12.5"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row>
    <row r="769" spans="1:53" ht="12.5"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row>
    <row r="770" spans="1:53" ht="12.5"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row>
    <row r="771" spans="1:53" ht="12.5"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row>
    <row r="772" spans="1:53" ht="12.5"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row>
    <row r="773" spans="1:53" ht="12.5"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row>
    <row r="774" spans="1:53" ht="12.5"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row>
    <row r="775" spans="1:53" ht="12.5"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row>
    <row r="776" spans="1:53" ht="12.5"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row>
    <row r="777" spans="1:53" ht="12.5"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row>
    <row r="778" spans="1:53" ht="12.5"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row>
    <row r="779" spans="1:53" ht="12.5"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row>
    <row r="780" spans="1:53" ht="12.5"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row>
    <row r="781" spans="1:53" ht="12.5"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row>
    <row r="782" spans="1:53" ht="12.5"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row>
    <row r="783" spans="1:53" ht="12.5"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row>
    <row r="784" spans="1:53" ht="12.5"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row>
    <row r="785" spans="1:53" ht="12.5"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row>
    <row r="786" spans="1:53" ht="12.5"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row>
    <row r="787" spans="1:53" ht="12.5"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row>
    <row r="788" spans="1:53" ht="12.5"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row>
    <row r="789" spans="1:53" ht="12.5"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row>
    <row r="790" spans="1:53" ht="12.5"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row>
    <row r="791" spans="1:53" ht="12.5"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row>
    <row r="792" spans="1:53" ht="12.5"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row>
    <row r="793" spans="1:53" ht="12.5"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row>
    <row r="794" spans="1:53" ht="12.5"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row>
    <row r="795" spans="1:53" ht="12.5"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row>
    <row r="796" spans="1:53" ht="12.5"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row>
    <row r="797" spans="1:53" ht="12.5"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row>
    <row r="798" spans="1:53" ht="12.5"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row>
    <row r="799" spans="1:53" ht="12.5"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row>
    <row r="800" spans="1:53" ht="12.5"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row>
    <row r="801" spans="1:53" ht="12.5"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row>
    <row r="802" spans="1:53" ht="12.5"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row>
    <row r="803" spans="1:53" ht="12.5"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row>
    <row r="804" spans="1:53" ht="12.5"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row>
    <row r="805" spans="1:53" ht="12.5"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row>
    <row r="806" spans="1:53" ht="12.5"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row>
    <row r="807" spans="1:53" ht="12.5"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row>
    <row r="808" spans="1:53" ht="12.5"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row>
    <row r="809" spans="1:53" ht="12.5"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row>
    <row r="810" spans="1:53" ht="12.5"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row>
    <row r="811" spans="1:53" ht="12.5"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row>
    <row r="812" spans="1:53" ht="12.5"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row>
    <row r="813" spans="1:53" ht="12.5"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row>
    <row r="814" spans="1:53" ht="12.5"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row>
    <row r="815" spans="1:53" ht="12.5"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row>
    <row r="816" spans="1:53" ht="12.5"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row>
    <row r="817" spans="1:53" ht="12.5"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row>
    <row r="818" spans="1:53" ht="12.5"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row>
    <row r="819" spans="1:53" ht="12.5"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row>
    <row r="820" spans="1:53" ht="12.5"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row>
    <row r="821" spans="1:53" ht="12.5"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row>
    <row r="822" spans="1:53" ht="12.5"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row>
    <row r="823" spans="1:53" ht="12.5"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row>
    <row r="824" spans="1:53" ht="12.5"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row>
    <row r="825" spans="1:53" ht="12.5"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row>
    <row r="826" spans="1:53" ht="12.5"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row>
    <row r="827" spans="1:53" ht="12.5"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row>
    <row r="828" spans="1:53" ht="12.5"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row>
    <row r="829" spans="1:53" ht="12.5"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row>
    <row r="830" spans="1:53" ht="12.5"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row>
    <row r="831" spans="1:53" ht="12.5"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row>
    <row r="832" spans="1:53" ht="12.5"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row>
    <row r="833" spans="1:53" ht="12.5"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row>
    <row r="834" spans="1:53" ht="12.5"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row>
    <row r="835" spans="1:53" ht="12.5"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row>
    <row r="836" spans="1:53" ht="12.5"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row>
    <row r="837" spans="1:53" ht="12.5"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row>
    <row r="838" spans="1:53" ht="12.5"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row>
    <row r="839" spans="1:53" ht="12.5"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row>
    <row r="840" spans="1:53" ht="12.5"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row>
    <row r="841" spans="1:53" ht="12.5"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row>
    <row r="842" spans="1:53" ht="12.5"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row>
    <row r="843" spans="1:53" ht="12.5"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row>
    <row r="844" spans="1:53" ht="12.5"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row>
    <row r="845" spans="1:53" ht="12.5"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row>
    <row r="846" spans="1:53" ht="12.5"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row>
    <row r="847" spans="1:53" ht="12.5"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row>
    <row r="848" spans="1:53" ht="12.5"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row>
    <row r="849" spans="1:53" ht="12.5"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row>
    <row r="850" spans="1:53" ht="12.5"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row>
    <row r="851" spans="1:53" ht="12.5"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row>
    <row r="852" spans="1:53" ht="12.5"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row>
    <row r="853" spans="1:53" ht="12.5"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row>
    <row r="854" spans="1:53" ht="12.5"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row>
    <row r="855" spans="1:53" ht="12.5"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row>
    <row r="856" spans="1:53" ht="12.5"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row>
    <row r="857" spans="1:53" ht="12.5"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row>
    <row r="858" spans="1:53" ht="12.5"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row>
    <row r="859" spans="1:53" ht="12.5"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row>
    <row r="860" spans="1:53" ht="12.5"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row>
    <row r="861" spans="1:53" ht="12.5"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row>
    <row r="862" spans="1:53" ht="12.5"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row>
    <row r="863" spans="1:53" ht="12.5"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row>
    <row r="864" spans="1:53" ht="12.5"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row>
    <row r="865" spans="1:53" ht="12.5"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row>
    <row r="866" spans="1:53" ht="12.5"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row>
    <row r="867" spans="1:53" ht="12.5"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row>
    <row r="868" spans="1:53" ht="12.5"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row>
    <row r="869" spans="1:53" ht="12.5"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row>
    <row r="870" spans="1:53" ht="12.5"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row>
    <row r="871" spans="1:53" ht="12.5"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row>
    <row r="872" spans="1:53" ht="12.5"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row>
    <row r="873" spans="1:53" ht="12.5"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row>
    <row r="874" spans="1:53" ht="12.5"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row>
    <row r="875" spans="1:53" ht="12.5"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row>
    <row r="876" spans="1:53" ht="12.5"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row>
    <row r="877" spans="1:53" ht="12.5"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row>
    <row r="878" spans="1:53" ht="12.5"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row>
    <row r="879" spans="1:53" ht="12.5"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row>
    <row r="880" spans="1:53" ht="12.5"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row>
    <row r="881" spans="1:53" ht="12.5"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row>
    <row r="882" spans="1:53" ht="12.5"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row>
    <row r="883" spans="1:53" ht="12.5"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row>
    <row r="884" spans="1:53" ht="12.5"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row>
    <row r="885" spans="1:53" ht="12.5"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row>
    <row r="886" spans="1:53" ht="12.5"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row>
    <row r="887" spans="1:53" ht="12.5"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row>
    <row r="888" spans="1:53" ht="12.5"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row>
    <row r="889" spans="1:53" ht="12.5"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row>
    <row r="890" spans="1:53" ht="12.5"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row>
    <row r="891" spans="1:53" ht="12.5"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row>
    <row r="892" spans="1:53" ht="12.5"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row>
    <row r="893" spans="1:53" ht="12.5"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row>
    <row r="894" spans="1:53" ht="12.5"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row>
    <row r="895" spans="1:53" ht="12.5"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row>
    <row r="896" spans="1:53" ht="12.5"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row>
    <row r="897" spans="1:53" ht="12.5"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row>
    <row r="898" spans="1:53" ht="12.5"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row>
    <row r="899" spans="1:53" ht="12.5"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row>
    <row r="900" spans="1:53" ht="12.5"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row>
    <row r="901" spans="1:53" ht="12.5"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row>
    <row r="902" spans="1:53" ht="12.5"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row>
    <row r="903" spans="1:53" ht="12.5"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row>
    <row r="904" spans="1:53" ht="12.5"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row>
    <row r="905" spans="1:53" ht="12.5"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row>
    <row r="906" spans="1:53" ht="12.5"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row>
    <row r="907" spans="1:53" ht="12.5"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row>
    <row r="908" spans="1:53" ht="12.5"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row>
    <row r="909" spans="1:53" ht="12.5"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row>
    <row r="910" spans="1:53" ht="12.5"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row>
    <row r="911" spans="1:53" ht="12.5"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row>
    <row r="912" spans="1:53" ht="12.5"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row>
    <row r="913" spans="1:53" ht="12.5"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row>
    <row r="914" spans="1:53" ht="12.5"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row>
    <row r="915" spans="1:53" ht="12.5"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row>
    <row r="916" spans="1:53" ht="12.5"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row>
    <row r="917" spans="1:53" ht="12.5"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row>
    <row r="918" spans="1:53" ht="12.5"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row>
    <row r="919" spans="1:53" ht="12.5"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row>
    <row r="920" spans="1:53" ht="12.5"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row>
    <row r="921" spans="1:53" ht="12.5"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row>
    <row r="922" spans="1:53" ht="12.5"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row>
    <row r="923" spans="1:53" ht="12.5"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row>
    <row r="924" spans="1:53" ht="12.5"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row>
    <row r="925" spans="1:53" ht="12.5"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row>
    <row r="926" spans="1:53" ht="12.5"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row>
    <row r="927" spans="1:53" ht="12.5"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row>
    <row r="928" spans="1:53" ht="12.5"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row>
    <row r="929" spans="1:53" ht="12.5"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row>
    <row r="930" spans="1:53" ht="12.5"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row>
    <row r="931" spans="1:53" ht="12.5"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row>
    <row r="932" spans="1:53" ht="12.5"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row>
    <row r="933" spans="1:53" ht="12.5"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row>
    <row r="934" spans="1:53" ht="12.5"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row>
    <row r="935" spans="1:53" ht="12.5"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row>
    <row r="936" spans="1:53" ht="12.5"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row>
    <row r="937" spans="1:53" ht="12.5"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row>
    <row r="938" spans="1:53" ht="12.5"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row>
    <row r="939" spans="1:53" ht="12.5"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row>
    <row r="940" spans="1:53" ht="12.5"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row>
    <row r="941" spans="1:53" ht="12.5"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row>
    <row r="942" spans="1:53" ht="12.5"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row>
    <row r="943" spans="1:53" ht="12.5"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row>
    <row r="944" spans="1:53" ht="12.5"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row>
    <row r="945" spans="1:53" ht="12.5"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row>
    <row r="946" spans="1:53" ht="12.5"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row>
    <row r="947" spans="1:53" ht="12.5"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row>
    <row r="948" spans="1:53" ht="12.5"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row>
    <row r="949" spans="1:53" ht="12.5"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row>
    <row r="950" spans="1:53" ht="12.5"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row>
    <row r="951" spans="1:53" ht="12.5"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row>
    <row r="952" spans="1:53" ht="12.5"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row>
    <row r="953" spans="1:53" ht="12.5"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row>
    <row r="954" spans="1:53" ht="12.5"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row>
    <row r="955" spans="1:53" ht="12.5"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row>
    <row r="956" spans="1:53" ht="12.5"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row>
    <row r="957" spans="1:53" ht="12.5"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row>
    <row r="958" spans="1:53" ht="12.5"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row>
    <row r="959" spans="1:53" ht="12.5"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row>
    <row r="960" spans="1:53" ht="12.5"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row>
    <row r="961" spans="1:53" ht="12.5"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row>
    <row r="962" spans="1:53" ht="12.5"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row>
    <row r="963" spans="1:53" ht="12.5"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row>
    <row r="964" spans="1:53" ht="12.5"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row>
    <row r="965" spans="1:53" ht="12.5"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row>
    <row r="966" spans="1:53" ht="12.5"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row>
    <row r="967" spans="1:53" ht="12.5"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row>
    <row r="968" spans="1:53" ht="12.5"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row>
    <row r="969" spans="1:53" ht="12.5"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row>
    <row r="970" spans="1:53" ht="12.5"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row>
    <row r="971" spans="1:53" ht="12.5"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row>
    <row r="972" spans="1:53" ht="12.5"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row>
    <row r="973" spans="1:53" ht="12.5"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row>
    <row r="974" spans="1:53" ht="12.5"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row>
    <row r="975" spans="1:53" ht="12.5"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row>
    <row r="976" spans="1:53" ht="12.5"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row>
    <row r="977" spans="1:53" ht="12.5"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row>
    <row r="978" spans="1:53" ht="12.5"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row>
    <row r="979" spans="1:53" ht="12.5"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row>
    <row r="980" spans="1:53" ht="12.5"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row>
    <row r="981" spans="1:53" ht="12.5"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row>
    <row r="982" spans="1:53" ht="12.5"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row>
    <row r="983" spans="1:53" ht="12.5"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row>
    <row r="984" spans="1:53" ht="12.5"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row>
    <row r="985" spans="1:53" ht="12.5"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row>
    <row r="986" spans="1:53" ht="12.5"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row>
    <row r="987" spans="1:53" ht="12.5"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row>
    <row r="988" spans="1:53" ht="12.5"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row>
    <row r="989" spans="1:53" ht="12.5"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row>
    <row r="990" spans="1:53" ht="12.5"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row>
    <row r="991" spans="1:53" ht="12.5"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row>
    <row r="992" spans="1:53" ht="12.5"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row>
    <row r="993" spans="1:53" ht="12.5"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row>
    <row r="994" spans="1:53" ht="12.5"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row>
    <row r="995" spans="1:53" ht="12.5"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row>
    <row r="996" spans="1:53" ht="12.5"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row>
    <row r="997" spans="1:53" ht="12.5"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row>
    <row r="998" spans="1:53" ht="12.5"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row>
    <row r="999" spans="1:53" ht="12.5"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row>
    <row r="1000" spans="1:53" ht="12.5"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row>
  </sheetData>
  <mergeCells count="7">
    <mergeCell ref="C1:F1"/>
    <mergeCell ref="BC21:BD24"/>
    <mergeCell ref="BC25:BD28"/>
    <mergeCell ref="BC29:BD32"/>
    <mergeCell ref="BF29:BF32"/>
    <mergeCell ref="BF25:BF28"/>
    <mergeCell ref="BF21:BF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4</vt:i4>
      </vt:variant>
    </vt:vector>
  </HeadingPairs>
  <TitlesOfParts>
    <vt:vector size="4" baseType="lpstr">
      <vt:lpstr>Emails sent (tasks 1, 3, 4)</vt:lpstr>
      <vt:lpstr>Users Retention Rate (task 2)</vt:lpstr>
      <vt:lpstr>Active users</vt:lpstr>
      <vt:lpstr>Emails clicks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AVM Legion</dc:creator>
  <cp:lastModifiedBy>AVM Legion</cp:lastModifiedBy>
  <dcterms:created xsi:type="dcterms:W3CDTF">2026-03-09T19:03:32Z</dcterms:created>
  <dcterms:modified xsi:type="dcterms:W3CDTF">2026-03-12T12:15:31Z</dcterms:modified>
</cp:coreProperties>
</file>